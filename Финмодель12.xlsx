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19425" windowHeight="10560" tabRatio="911" activeTab="6"/>
  </bookViews>
  <sheets>
    <sheet name="NPV" sheetId="1" r:id="rId1"/>
    <sheet name="Ставка дисконтирования" sheetId="4" r:id="rId2"/>
    <sheet name="Оттоки (Расходы)" sheetId="2" r:id="rId3"/>
    <sheet name="Подведение коммуникаций" sheetId="8" r:id="rId4"/>
    <sheet name="Штатная структура" sheetId="5" r:id="rId5"/>
    <sheet name="Коммуналка" sheetId="6" r:id="rId6"/>
    <sheet name="Притоки (Доходная часть)" sheetId="3" r:id="rId7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L3" i="2"/>
  <c r="C18" i="1"/>
  <c r="E23" i="3"/>
  <c r="C23" i="3"/>
  <c r="C21" i="3"/>
  <c r="C9" i="4" l="1"/>
  <c r="N3" i="1"/>
  <c r="M3" i="1"/>
  <c r="L3" i="1"/>
  <c r="K3" i="1"/>
  <c r="J3" i="1"/>
  <c r="I3" i="1"/>
  <c r="H3" i="1"/>
  <c r="G3" i="1"/>
  <c r="F3" i="1"/>
  <c r="E3" i="1"/>
  <c r="D3" i="1"/>
  <c r="C3" i="1"/>
  <c r="H3" i="5"/>
  <c r="I18" i="2" l="1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9" i="3"/>
  <c r="F19" i="3" s="1"/>
  <c r="E20" i="3"/>
  <c r="F20" i="3" s="1"/>
  <c r="I15" i="2"/>
  <c r="I16" i="2"/>
  <c r="I17" i="2"/>
  <c r="I3" i="2"/>
  <c r="C6" i="1" s="1"/>
  <c r="H13" i="6"/>
  <c r="H5" i="6"/>
  <c r="E9" i="8"/>
  <c r="E11" i="8"/>
  <c r="E10" i="8"/>
  <c r="L14" i="3"/>
  <c r="E3" i="3"/>
  <c r="F3" i="3" s="1"/>
  <c r="G3" i="3" s="1"/>
  <c r="E12" i="8" l="1"/>
  <c r="F6" i="2" s="1"/>
  <c r="D12" i="2" s="1"/>
  <c r="E2" i="1" s="1"/>
  <c r="G20" i="3"/>
  <c r="H20" i="3" s="1"/>
  <c r="G12" i="3"/>
  <c r="H12" i="3" s="1"/>
  <c r="G13" i="3"/>
  <c r="H13" i="3" s="1"/>
  <c r="G18" i="3"/>
  <c r="H18" i="3" s="1"/>
  <c r="G5" i="3"/>
  <c r="H5" i="3" s="1"/>
  <c r="G19" i="3"/>
  <c r="H19" i="3" s="1"/>
  <c r="G17" i="3"/>
  <c r="H17" i="3" s="1"/>
  <c r="G9" i="3"/>
  <c r="H9" i="3" s="1"/>
  <c r="G16" i="3"/>
  <c r="H16" i="3"/>
  <c r="G8" i="3"/>
  <c r="H8" i="3" s="1"/>
  <c r="G4" i="3"/>
  <c r="H4" i="3" s="1"/>
  <c r="G11" i="3"/>
  <c r="H11" i="3" s="1"/>
  <c r="G10" i="3"/>
  <c r="H10" i="3" s="1"/>
  <c r="G14" i="3"/>
  <c r="H14" i="3" s="1"/>
  <c r="G6" i="3"/>
  <c r="H6" i="3" s="1"/>
  <c r="G15" i="3"/>
  <c r="H15" i="3" s="1"/>
  <c r="G7" i="3"/>
  <c r="H7" i="3" s="1"/>
  <c r="E21" i="3"/>
  <c r="F21" i="3"/>
  <c r="F8" i="2"/>
  <c r="H3" i="3"/>
  <c r="F5" i="2"/>
  <c r="L5" i="3" l="1"/>
  <c r="L9" i="3"/>
  <c r="L4" i="3"/>
  <c r="L8" i="3"/>
  <c r="L6" i="3"/>
  <c r="L7" i="3"/>
  <c r="L3" i="3"/>
  <c r="C5" i="1" s="1"/>
  <c r="G21" i="3"/>
  <c r="H21" i="3" s="1"/>
  <c r="L10" i="3"/>
  <c r="L11" i="3"/>
  <c r="L12" i="3"/>
  <c r="L5" i="1" s="1"/>
  <c r="L13" i="3"/>
  <c r="N5" i="1"/>
  <c r="H10" i="5"/>
  <c r="I5" i="1" l="1"/>
  <c r="M5" i="1"/>
  <c r="C6" i="4"/>
  <c r="C7" i="4"/>
  <c r="D5" i="1"/>
  <c r="F4" i="2"/>
  <c r="F9" i="2" s="1"/>
  <c r="F10" i="2" l="1"/>
  <c r="C16" i="1" s="1"/>
  <c r="D10" i="2"/>
  <c r="L12" i="2" l="1"/>
  <c r="I12" i="2" s="1"/>
  <c r="L6" i="1" s="1"/>
  <c r="L7" i="1" s="1"/>
  <c r="L14" i="2"/>
  <c r="I14" i="2" s="1"/>
  <c r="N6" i="1" s="1"/>
  <c r="N7" i="1" s="1"/>
  <c r="L10" i="2"/>
  <c r="I10" i="2" s="1"/>
  <c r="J6" i="1" s="1"/>
  <c r="L13" i="2"/>
  <c r="I13" i="2" s="1"/>
  <c r="M6" i="1" s="1"/>
  <c r="M7" i="1" s="1"/>
  <c r="L11" i="2"/>
  <c r="I11" i="2" s="1"/>
  <c r="K6" i="1" s="1"/>
  <c r="L8" i="2"/>
  <c r="I8" i="2" s="1"/>
  <c r="H6" i="1" s="1"/>
  <c r="L4" i="2"/>
  <c r="I4" i="2" s="1"/>
  <c r="L5" i="2"/>
  <c r="I5" i="2" s="1"/>
  <c r="E6" i="1" s="1"/>
  <c r="L9" i="2"/>
  <c r="I9" i="2" s="1"/>
  <c r="I6" i="1" s="1"/>
  <c r="L6" i="2"/>
  <c r="I6" i="2" s="1"/>
  <c r="F6" i="1" s="1"/>
  <c r="L7" i="2"/>
  <c r="I7" i="2" s="1"/>
  <c r="G6" i="1" s="1"/>
  <c r="E10" i="2"/>
  <c r="D6" i="1" l="1"/>
  <c r="I37" i="2"/>
  <c r="C7" i="1"/>
  <c r="C2" i="1"/>
  <c r="N9" i="1" l="1"/>
  <c r="J9" i="1"/>
  <c r="F9" i="1"/>
  <c r="M9" i="1"/>
  <c r="I9" i="1"/>
  <c r="E9" i="1"/>
  <c r="L9" i="1"/>
  <c r="H9" i="1"/>
  <c r="D9" i="1"/>
  <c r="K9" i="1"/>
  <c r="G9" i="1"/>
  <c r="C9" i="1"/>
  <c r="D11" i="1"/>
  <c r="C8" i="1"/>
  <c r="C25" i="1" s="1"/>
  <c r="C10" i="1" l="1"/>
  <c r="C11" i="1"/>
  <c r="M11" i="1"/>
  <c r="M10" i="1"/>
  <c r="N11" i="1"/>
  <c r="N10" i="1"/>
  <c r="L11" i="1"/>
  <c r="L10" i="1"/>
  <c r="J11" i="1"/>
  <c r="K11" i="1"/>
  <c r="H11" i="1"/>
  <c r="I11" i="1"/>
  <c r="G11" i="1"/>
  <c r="E11" i="1"/>
  <c r="F11" i="1"/>
  <c r="C12" i="1" l="1"/>
  <c r="C13" i="1" s="1"/>
  <c r="C26" i="1" s="1"/>
  <c r="N12" i="1"/>
  <c r="M12" i="1"/>
  <c r="L12" i="1"/>
  <c r="K5" i="1"/>
  <c r="K10" i="1" s="1"/>
  <c r="H5" i="1"/>
  <c r="G5" i="1"/>
  <c r="F5" i="1"/>
  <c r="E5" i="1"/>
  <c r="E7" i="1" s="1"/>
  <c r="D7" i="1" l="1"/>
  <c r="G7" i="1"/>
  <c r="G10" i="1"/>
  <c r="G12" i="1" s="1"/>
  <c r="H7" i="1"/>
  <c r="H10" i="1"/>
  <c r="H12" i="1" s="1"/>
  <c r="K7" i="1"/>
  <c r="K12" i="1"/>
  <c r="J5" i="1"/>
  <c r="E10" i="1"/>
  <c r="E12" i="1" s="1"/>
  <c r="F7" i="1"/>
  <c r="F10" i="1"/>
  <c r="F12" i="1" s="1"/>
  <c r="D10" i="1" l="1"/>
  <c r="D8" i="1"/>
  <c r="D25" i="1" s="1"/>
  <c r="H8" i="1"/>
  <c r="F8" i="1"/>
  <c r="E8" i="1"/>
  <c r="G8" i="1"/>
  <c r="J7" i="1"/>
  <c r="J10" i="1"/>
  <c r="J12" i="1" s="1"/>
  <c r="I7" i="1"/>
  <c r="I10" i="1"/>
  <c r="I12" i="1" s="1"/>
  <c r="C19" i="1" l="1"/>
  <c r="C21" i="1" s="1"/>
  <c r="D21" i="1" s="1"/>
  <c r="C20" i="1"/>
  <c r="D20" i="1" s="1"/>
  <c r="D12" i="1"/>
  <c r="N8" i="1"/>
  <c r="C24" i="1" s="1"/>
  <c r="M8" i="1"/>
  <c r="L8" i="1"/>
  <c r="F25" i="1"/>
  <c r="G25" i="1"/>
  <c r="I8" i="1"/>
  <c r="I25" i="1" s="1"/>
  <c r="J8" i="1"/>
  <c r="K8" i="1"/>
  <c r="E25" i="1"/>
  <c r="H25" i="1"/>
  <c r="D19" i="1" l="1"/>
  <c r="I13" i="1"/>
  <c r="M25" i="1"/>
  <c r="K25" i="1"/>
  <c r="J25" i="1"/>
  <c r="J13" i="1"/>
  <c r="L25" i="1"/>
  <c r="N25" i="1"/>
  <c r="G13" i="1"/>
  <c r="H13" i="1"/>
  <c r="F13" i="1"/>
  <c r="E13" i="1"/>
  <c r="K13" i="1"/>
  <c r="D13" i="1"/>
  <c r="D26" i="1" s="1"/>
  <c r="L13" i="1"/>
  <c r="M13" i="1"/>
  <c r="N13" i="1"/>
  <c r="C22" i="1" l="1"/>
  <c r="I26" i="1"/>
  <c r="J26" i="1"/>
  <c r="K26" i="1"/>
  <c r="M26" i="1"/>
  <c r="N26" i="1"/>
  <c r="F26" i="1"/>
  <c r="L26" i="1"/>
  <c r="H26" i="1"/>
  <c r="G26" i="1"/>
  <c r="E26" i="1"/>
  <c r="C23" i="1" l="1"/>
</calcChain>
</file>

<file path=xl/sharedStrings.xml><?xml version="1.0" encoding="utf-8"?>
<sst xmlns="http://schemas.openxmlformats.org/spreadsheetml/2006/main" count="121" uniqueCount="112">
  <si>
    <t xml:space="preserve">Период </t>
  </si>
  <si>
    <t>Фактор</t>
  </si>
  <si>
    <t>Инвестиции</t>
  </si>
  <si>
    <t>Премия за риск</t>
  </si>
  <si>
    <t>ROE</t>
  </si>
  <si>
    <t>ROA</t>
  </si>
  <si>
    <t>Чистый денежный поток (CF)</t>
  </si>
  <si>
    <t xml:space="preserve">ЧДП нарастающим потоком </t>
  </si>
  <si>
    <t>Чистый денежный поток (FCFF)</t>
  </si>
  <si>
    <t>Дсконтированный чистый денежный поток (DFCFF)</t>
  </si>
  <si>
    <t>Дисконтированный чистый денежный поток нарастающим потоком</t>
  </si>
  <si>
    <t>PP</t>
  </si>
  <si>
    <t>DPP</t>
  </si>
  <si>
    <t>Притоки</t>
  </si>
  <si>
    <t>Оттоки</t>
  </si>
  <si>
    <t>Оттоки (дисконтированные)</t>
  </si>
  <si>
    <t>Притоки (дисконтированные)</t>
  </si>
  <si>
    <t>Даты</t>
  </si>
  <si>
    <t>ИТОГО</t>
  </si>
  <si>
    <t>Коммунальные платежи ежемесячно</t>
  </si>
  <si>
    <t xml:space="preserve">Инфляция на 2025 г. </t>
  </si>
  <si>
    <t xml:space="preserve">Стоимость собственного капитала 
</t>
  </si>
  <si>
    <t>Стоимость долгового капитала компании</t>
  </si>
  <si>
    <t>№</t>
  </si>
  <si>
    <t>должность</t>
  </si>
  <si>
    <t>ФИО / вакансия</t>
  </si>
  <si>
    <t>блок</t>
  </si>
  <si>
    <t>зарплата</t>
  </si>
  <si>
    <t>фикс</t>
  </si>
  <si>
    <t>бонус</t>
  </si>
  <si>
    <t>итого</t>
  </si>
  <si>
    <t>Охранник</t>
  </si>
  <si>
    <t>с учетом налогов</t>
  </si>
  <si>
    <t>Зарплата штатному персоналу</t>
  </si>
  <si>
    <t>показ сч общ</t>
  </si>
  <si>
    <t>руб.</t>
  </si>
  <si>
    <t>расчетный месяц</t>
  </si>
  <si>
    <t>Собственник</t>
  </si>
  <si>
    <t>Арендатор Собствнника</t>
  </si>
  <si>
    <t>S по свид.</t>
  </si>
  <si>
    <t>Д</t>
  </si>
  <si>
    <t>Сумма к оплате, руб.</t>
  </si>
  <si>
    <t>затраты на содержание МОП, руб</t>
  </si>
  <si>
    <t>Доля в строении, %</t>
  </si>
  <si>
    <t>Sсч</t>
  </si>
  <si>
    <t>Sбсч</t>
  </si>
  <si>
    <t>Площади оборудованные счетчиками</t>
  </si>
  <si>
    <t>Площади не оборудованные счетчиками</t>
  </si>
  <si>
    <t>затраты на содержание , руб</t>
  </si>
  <si>
    <t>Расчет расходов Заказчика на электричество</t>
  </si>
  <si>
    <t>кВт</t>
  </si>
  <si>
    <t>общ плата в  МЭС</t>
  </si>
  <si>
    <t>тариф Тэ</t>
  </si>
  <si>
    <t>Эcч</t>
  </si>
  <si>
    <t>Эбcч</t>
  </si>
  <si>
    <t>Э*Тэ</t>
  </si>
  <si>
    <t>Эмоп*Д*Тэ</t>
  </si>
  <si>
    <t>Расход Э/Э по счет,кВт</t>
  </si>
  <si>
    <t>Расход Э/Э без счет, кВт</t>
  </si>
  <si>
    <t>Итого</t>
  </si>
  <si>
    <t>Обслуживание противопожарной системы безопасности</t>
  </si>
  <si>
    <t>Вывоз ТБО</t>
  </si>
  <si>
    <t>Покупка здания</t>
  </si>
  <si>
    <t>Общий ежемесячный расход на операционку</t>
  </si>
  <si>
    <t>Метраж</t>
  </si>
  <si>
    <t>Ставка за 1м2</t>
  </si>
  <si>
    <t>МАП</t>
  </si>
  <si>
    <t>ГАП</t>
  </si>
  <si>
    <t>ГАП+налог</t>
  </si>
  <si>
    <t>ПРОДАЖА</t>
  </si>
  <si>
    <t>Здание</t>
  </si>
  <si>
    <t>АРЕНДА</t>
  </si>
  <si>
    <t>Для выбранного объекто рассмотрим вариант с подведением электричества.</t>
  </si>
  <si>
    <t>Водоснабжение/водоотведение, теплоснабжение подводить не будем.</t>
  </si>
  <si>
    <t>Отопление будет электрическим.</t>
  </si>
  <si>
    <t>Расчет подведения эл-ва до 150 кВт</t>
  </si>
  <si>
    <t>выдача технических условий</t>
  </si>
  <si>
    <t>прибор учета</t>
  </si>
  <si>
    <t>строительство линии электропередач длиной</t>
  </si>
  <si>
    <t>усл./метр/шт.</t>
  </si>
  <si>
    <t>Итого с учетом НДС</t>
  </si>
  <si>
    <t>2025 г.</t>
  </si>
  <si>
    <t>за 6 месяцев</t>
  </si>
  <si>
    <t xml:space="preserve">каждый мес. </t>
  </si>
  <si>
    <t>Подведение коммуникаций</t>
  </si>
  <si>
    <t>этаж</t>
  </si>
  <si>
    <t>Discount rate (ежемесячно)</t>
  </si>
  <si>
    <t>Суммарные инвестиции</t>
  </si>
  <si>
    <t xml:space="preserve">Ежемесячная Ставка дисконтирования, r = </t>
  </si>
  <si>
    <t>Месяцы</t>
  </si>
  <si>
    <t>Обслуживание ИТП</t>
  </si>
  <si>
    <t>Клининг</t>
  </si>
  <si>
    <t>Моя зарплата</t>
  </si>
  <si>
    <t>РЕМОНТ</t>
  </si>
  <si>
    <t>Финансовые показатели:</t>
  </si>
  <si>
    <r>
      <rPr>
        <b/>
        <sz val="11"/>
        <color theme="1"/>
        <rFont val="Calibri"/>
        <family val="2"/>
        <charset val="204"/>
        <scheme val="minor"/>
      </rPr>
      <t xml:space="preserve">NOI </t>
    </r>
    <r>
      <rPr>
        <sz val="11"/>
        <color theme="1"/>
        <rFont val="Calibri"/>
        <family val="2"/>
        <charset val="204"/>
        <scheme val="minor"/>
      </rPr>
      <t>(Чистый операционный доход объекта за вычетом операционных расходов, без учета кредита, налогов на прибыль и амортизации)</t>
    </r>
  </si>
  <si>
    <r>
      <rPr>
        <b/>
        <sz val="11"/>
        <color theme="1"/>
        <rFont val="Calibri"/>
        <family val="2"/>
        <charset val="204"/>
        <scheme val="minor"/>
      </rPr>
      <t xml:space="preserve">Cap rate </t>
    </r>
    <r>
      <rPr>
        <sz val="11"/>
        <color theme="1"/>
        <rFont val="Calibri"/>
        <family val="2"/>
        <charset val="204"/>
        <scheme val="minor"/>
      </rPr>
      <t>(Ставка капитализации — по ней считают стоимость)</t>
    </r>
  </si>
  <si>
    <r>
      <rPr>
        <b/>
        <sz val="11"/>
        <color theme="1"/>
        <rFont val="Calibri"/>
        <family val="2"/>
        <charset val="204"/>
        <scheme val="minor"/>
      </rPr>
      <t xml:space="preserve">Vacancy rate </t>
    </r>
    <r>
      <rPr>
        <sz val="11"/>
        <color theme="1"/>
        <rFont val="Calibri"/>
        <family val="2"/>
        <charset val="204"/>
        <scheme val="minor"/>
      </rPr>
      <t>(Уровень вакантности (доля пустующих площадей))</t>
    </r>
  </si>
  <si>
    <r>
      <rPr>
        <b/>
        <sz val="11"/>
        <color theme="1"/>
        <rFont val="Calibri"/>
        <family val="2"/>
        <charset val="204"/>
        <scheme val="minor"/>
      </rPr>
      <t>NPV</t>
    </r>
    <r>
      <rPr>
        <sz val="11"/>
        <color theme="1"/>
        <rFont val="Calibri"/>
        <family val="2"/>
        <charset val="204"/>
        <scheme val="minor"/>
      </rPr>
      <t xml:space="preserve"> (чистый приведенный доход)</t>
    </r>
  </si>
  <si>
    <r>
      <rPr>
        <b/>
        <sz val="11"/>
        <color theme="1"/>
        <rFont val="Calibri"/>
        <family val="2"/>
        <charset val="204"/>
        <scheme val="minor"/>
      </rPr>
      <t>IRR</t>
    </r>
    <r>
      <rPr>
        <sz val="11"/>
        <color theme="1"/>
        <rFont val="Calibri"/>
        <family val="2"/>
        <charset val="204"/>
        <scheme val="minor"/>
      </rPr>
      <t xml:space="preserve"> (внутренняя норма доходности проекта)</t>
    </r>
  </si>
  <si>
    <r>
      <rPr>
        <b/>
        <sz val="11"/>
        <color theme="1"/>
        <rFont val="Calibri"/>
        <family val="2"/>
        <charset val="204"/>
        <scheme val="minor"/>
      </rPr>
      <t xml:space="preserve">PI </t>
    </r>
    <r>
      <rPr>
        <sz val="11"/>
        <color theme="1"/>
        <rFont val="Calibri"/>
        <family val="2"/>
        <charset val="204"/>
        <scheme val="minor"/>
      </rPr>
      <t>(индекс доходности - индикатор относительной прибыльности проекта)</t>
    </r>
  </si>
  <si>
    <r>
      <rPr>
        <b/>
        <sz val="11"/>
        <color theme="1"/>
        <rFont val="Calibri"/>
        <family val="2"/>
        <charset val="204"/>
        <scheme val="minor"/>
      </rPr>
      <t>PP</t>
    </r>
    <r>
      <rPr>
        <sz val="11"/>
        <color theme="1"/>
        <rFont val="Calibri"/>
        <family val="2"/>
        <charset val="204"/>
        <scheme val="minor"/>
      </rPr>
      <t xml:space="preserve"> (payback period - период окупаемости вложений)</t>
    </r>
  </si>
  <si>
    <r>
      <rPr>
        <b/>
        <sz val="11"/>
        <color theme="1"/>
        <rFont val="Calibri"/>
        <family val="2"/>
        <charset val="204"/>
        <scheme val="minor"/>
      </rPr>
      <t>DPP</t>
    </r>
    <r>
      <rPr>
        <sz val="11"/>
        <color theme="1"/>
        <rFont val="Calibri"/>
        <family val="2"/>
        <charset val="204"/>
        <scheme val="minor"/>
      </rPr>
      <t xml:space="preserve"> (кол. Мес.)</t>
    </r>
  </si>
  <si>
    <r>
      <rPr>
        <b/>
        <sz val="11"/>
        <color theme="1"/>
        <rFont val="Calibri"/>
        <family val="2"/>
        <charset val="204"/>
        <scheme val="minor"/>
      </rPr>
      <t xml:space="preserve">ROI </t>
    </r>
    <r>
      <rPr>
        <sz val="11"/>
        <color theme="1"/>
        <rFont val="Calibri"/>
        <family val="2"/>
        <charset val="204"/>
        <scheme val="minor"/>
      </rPr>
      <t>коэффициент возврата инвестиций</t>
    </r>
  </si>
  <si>
    <t>5% ндс</t>
  </si>
  <si>
    <t>Арендопригодная площадь</t>
  </si>
  <si>
    <t>в год</t>
  </si>
  <si>
    <t>мес.</t>
  </si>
  <si>
    <t>OPEX</t>
  </si>
  <si>
    <t>CAPEX</t>
  </si>
  <si>
    <t>(CAPEX) Инвестиции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</si>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</sst>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₽&quot;_-;\-* #,##0.00\ &quot;₽&quot;_-;_-* &quot;-&quot;??\ &quot;₽&quot;_-;_-@_-"/>
    <numFmt numFmtId="164" formatCode="#,##0.00\ &quot;₽&quot;"/>
    <numFmt numFmtId="165" formatCode="0.0%"/>
    <numFmt numFmtId="166" formatCode="0.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rgb="FF333333"/>
      <name val="Calibri"/>
      <family val="2"/>
      <charset val="204"/>
    </font>
    <font>
      <sz val="8"/>
      <name val="Arial"/>
      <family val="2"/>
      <charset val="204"/>
    </font>
    <font>
      <b/>
      <sz val="12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rgb="FF333333"/>
      <name val="Arial"/>
      <family val="2"/>
      <charset val="204"/>
    </font>
    <font>
      <sz val="10"/>
      <color rgb="FFD9D9D9"/>
      <name val="Arial"/>
      <family val="2"/>
      <charset val="204"/>
    </font>
    <font>
      <sz val="8"/>
      <color rgb="FF1E2837"/>
      <name val="Arial"/>
      <family val="2"/>
      <charset val="204"/>
    </font>
    <font>
      <sz val="8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9" fillId="0" borderId="0"/>
    <xf numFmtId="9" fontId="9" fillId="0" borderId="0"/>
    <xf numFmtId="0" fontId="10" fillId="0" borderId="0"/>
  </cellStyleXfs>
  <cellXfs count="126">
    <xf numFmtId="0" fontId="0" fillId="0" borderId="0" xfId="0"/>
    <xf numFmtId="4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44" fontId="0" fillId="0" borderId="1" xfId="0" applyNumberFormat="1" applyBorder="1"/>
    <xf numFmtId="10" fontId="0" fillId="0" borderId="0" xfId="0" applyNumberFormat="1"/>
    <xf numFmtId="164" fontId="0" fillId="0" borderId="0" xfId="0" applyNumberFormat="1"/>
    <xf numFmtId="10" fontId="0" fillId="3" borderId="0" xfId="1" applyNumberFormat="1" applyFont="1" applyFill="1"/>
    <xf numFmtId="10" fontId="0" fillId="3" borderId="0" xfId="0" applyNumberFormat="1" applyFill="1"/>
    <xf numFmtId="9" fontId="2" fillId="2" borderId="2" xfId="1" applyFont="1" applyFill="1" applyBorder="1"/>
    <xf numFmtId="9" fontId="0" fillId="0" borderId="0" xfId="0" applyNumberFormat="1"/>
    <xf numFmtId="0" fontId="4" fillId="0" borderId="0" xfId="0" applyFont="1"/>
    <xf numFmtId="0" fontId="0" fillId="0" borderId="0" xfId="0" applyAlignment="1">
      <alignment horizontal="right"/>
    </xf>
    <xf numFmtId="1" fontId="0" fillId="0" borderId="1" xfId="0" applyNumberFormat="1" applyBorder="1"/>
    <xf numFmtId="164" fontId="0" fillId="0" borderId="1" xfId="0" applyNumberFormat="1" applyBorder="1"/>
    <xf numFmtId="0" fontId="3" fillId="4" borderId="0" xfId="0" applyFont="1" applyFill="1" applyAlignment="1">
      <alignment horizontal="right" vertical="center" wrapText="1"/>
    </xf>
    <xf numFmtId="0" fontId="5" fillId="0" borderId="0" xfId="0" applyFont="1"/>
    <xf numFmtId="164" fontId="5" fillId="0" borderId="0" xfId="0" applyNumberFormat="1" applyFont="1"/>
    <xf numFmtId="0" fontId="5" fillId="0" borderId="1" xfId="0" applyFont="1" applyBorder="1"/>
    <xf numFmtId="164" fontId="5" fillId="0" borderId="1" xfId="0" applyNumberFormat="1" applyFont="1" applyBorder="1"/>
    <xf numFmtId="165" fontId="0" fillId="0" borderId="1" xfId="0" applyNumberFormat="1" applyBorder="1"/>
    <xf numFmtId="166" fontId="0" fillId="0" borderId="1" xfId="0" applyNumberFormat="1" applyBorder="1"/>
    <xf numFmtId="0" fontId="2" fillId="0" borderId="0" xfId="0" applyFont="1"/>
    <xf numFmtId="9" fontId="0" fillId="4" borderId="1" xfId="0" applyNumberFormat="1" applyFill="1" applyBorder="1"/>
    <xf numFmtId="0" fontId="4" fillId="0" borderId="1" xfId="0" applyFont="1" applyBorder="1"/>
    <xf numFmtId="164" fontId="4" fillId="0" borderId="1" xfId="0" applyNumberFormat="1" applyFont="1" applyBorder="1"/>
    <xf numFmtId="44" fontId="4" fillId="0" borderId="1" xfId="0" applyNumberFormat="1" applyFont="1" applyBorder="1"/>
    <xf numFmtId="0" fontId="5" fillId="0" borderId="1" xfId="0" applyFont="1" applyBorder="1" applyAlignment="1">
      <alignment wrapText="1"/>
    </xf>
    <xf numFmtId="44" fontId="5" fillId="0" borderId="1" xfId="0" applyNumberFormat="1" applyFont="1" applyBorder="1"/>
    <xf numFmtId="0" fontId="0" fillId="4" borderId="0" xfId="0" applyFill="1"/>
    <xf numFmtId="0" fontId="2" fillId="4" borderId="0" xfId="0" applyFont="1" applyFill="1"/>
    <xf numFmtId="14" fontId="7" fillId="0" borderId="0" xfId="0" applyNumberFormat="1" applyFont="1"/>
    <xf numFmtId="0" fontId="9" fillId="0" borderId="0" xfId="2"/>
    <xf numFmtId="166" fontId="13" fillId="0" borderId="0" xfId="4" applyNumberFormat="1" applyFont="1"/>
    <xf numFmtId="166" fontId="12" fillId="0" borderId="0" xfId="4" applyNumberFormat="1" applyFont="1"/>
    <xf numFmtId="0" fontId="13" fillId="0" borderId="12" xfId="4" applyFont="1" applyBorder="1" applyAlignment="1">
      <alignment horizontal="center"/>
    </xf>
    <xf numFmtId="0" fontId="14" fillId="0" borderId="0" xfId="4" applyFont="1"/>
    <xf numFmtId="4" fontId="14" fillId="0" borderId="1" xfId="4" applyNumberFormat="1" applyFont="1" applyBorder="1"/>
    <xf numFmtId="4" fontId="14" fillId="0" borderId="0" xfId="4" applyNumberFormat="1" applyFont="1"/>
    <xf numFmtId="0" fontId="14" fillId="0" borderId="0" xfId="4" applyFont="1" applyAlignment="1">
      <alignment horizontal="center"/>
    </xf>
    <xf numFmtId="166" fontId="15" fillId="0" borderId="0" xfId="4" applyNumberFormat="1" applyFont="1"/>
    <xf numFmtId="4" fontId="13" fillId="0" borderId="5" xfId="4" applyNumberFormat="1" applyFont="1" applyBorder="1" applyAlignment="1">
      <alignment horizontal="center"/>
    </xf>
    <xf numFmtId="4" fontId="14" fillId="6" borderId="1" xfId="4" applyNumberFormat="1" applyFont="1" applyFill="1" applyBorder="1" applyAlignment="1">
      <alignment horizontal="right" vertical="center"/>
    </xf>
    <xf numFmtId="0" fontId="13" fillId="0" borderId="0" xfId="4" applyFont="1" applyAlignment="1">
      <alignment horizontal="center"/>
    </xf>
    <xf numFmtId="166" fontId="14" fillId="0" borderId="0" xfId="4" applyNumberFormat="1" applyFont="1"/>
    <xf numFmtId="166" fontId="13" fillId="0" borderId="5" xfId="4" applyNumberFormat="1" applyFont="1" applyBorder="1" applyAlignment="1">
      <alignment horizontal="center" vertical="top" wrapText="1"/>
    </xf>
    <xf numFmtId="166" fontId="13" fillId="0" borderId="5" xfId="4" applyNumberFormat="1" applyFont="1" applyBorder="1" applyAlignment="1">
      <alignment horizontal="center"/>
    </xf>
    <xf numFmtId="166" fontId="13" fillId="0" borderId="1" xfId="4" applyNumberFormat="1" applyFont="1" applyBorder="1" applyAlignment="1">
      <alignment horizontal="center" vertical="center" wrapText="1"/>
    </xf>
    <xf numFmtId="44" fontId="5" fillId="0" borderId="0" xfId="0" applyNumberFormat="1" applyFont="1"/>
    <xf numFmtId="0" fontId="8" fillId="0" borderId="1" xfId="0" applyFont="1" applyBorder="1" applyAlignment="1">
      <alignment vertical="center"/>
    </xf>
    <xf numFmtId="0" fontId="7" fillId="0" borderId="1" xfId="0" applyFont="1" applyBorder="1"/>
    <xf numFmtId="164" fontId="7" fillId="0" borderId="1" xfId="0" applyNumberFormat="1" applyFont="1" applyBorder="1"/>
    <xf numFmtId="2" fontId="7" fillId="0" borderId="1" xfId="0" applyNumberFormat="1" applyFont="1" applyBorder="1"/>
    <xf numFmtId="0" fontId="0" fillId="7" borderId="1" xfId="0" applyFill="1" applyBorder="1"/>
    <xf numFmtId="44" fontId="5" fillId="7" borderId="1" xfId="0" applyNumberFormat="1" applyFont="1" applyFill="1" applyBorder="1"/>
    <xf numFmtId="44" fontId="2" fillId="4" borderId="0" xfId="0" applyNumberFormat="1" applyFont="1" applyFill="1"/>
    <xf numFmtId="0" fontId="2" fillId="4" borderId="1" xfId="0" applyFont="1" applyFill="1" applyBorder="1"/>
    <xf numFmtId="14" fontId="0" fillId="0" borderId="1" xfId="0" applyNumberFormat="1" applyBorder="1"/>
    <xf numFmtId="44" fontId="2" fillId="4" borderId="1" xfId="0" applyNumberFormat="1" applyFont="1" applyFill="1" applyBorder="1"/>
    <xf numFmtId="0" fontId="5" fillId="4" borderId="1" xfId="0" applyFont="1" applyFill="1" applyBorder="1"/>
    <xf numFmtId="0" fontId="6" fillId="4" borderId="1" xfId="0" applyFont="1" applyFill="1" applyBorder="1"/>
    <xf numFmtId="44" fontId="2" fillId="5" borderId="1" xfId="0" applyNumberFormat="1" applyFont="1" applyFill="1" applyBorder="1"/>
    <xf numFmtId="44" fontId="0" fillId="4" borderId="0" xfId="0" applyNumberFormat="1" applyFill="1"/>
    <xf numFmtId="2" fontId="0" fillId="4" borderId="0" xfId="1" applyNumberFormat="1" applyFont="1" applyFill="1" applyBorder="1"/>
    <xf numFmtId="164" fontId="0" fillId="5" borderId="1" xfId="0" applyNumberFormat="1" applyFill="1" applyBorder="1"/>
    <xf numFmtId="0" fontId="5" fillId="0" borderId="10" xfId="0" applyFont="1" applyBorder="1"/>
    <xf numFmtId="0" fontId="0" fillId="0" borderId="10" xfId="0" applyBorder="1"/>
    <xf numFmtId="0" fontId="0" fillId="0" borderId="13" xfId="0" applyBorder="1"/>
    <xf numFmtId="0" fontId="16" fillId="0" borderId="0" xfId="0" applyFont="1"/>
    <xf numFmtId="44" fontId="0" fillId="0" borderId="11" xfId="0" applyNumberFormat="1" applyBorder="1"/>
    <xf numFmtId="3" fontId="0" fillId="0" borderId="1" xfId="0" applyNumberFormat="1" applyBorder="1"/>
    <xf numFmtId="0" fontId="0" fillId="0" borderId="17" xfId="0" applyBorder="1" applyAlignment="1">
      <alignment wrapText="1"/>
    </xf>
    <xf numFmtId="44" fontId="0" fillId="0" borderId="18" xfId="0" applyNumberFormat="1" applyBorder="1"/>
    <xf numFmtId="164" fontId="0" fillId="2" borderId="0" xfId="0" applyNumberFormat="1" applyFill="1"/>
    <xf numFmtId="164" fontId="0" fillId="8" borderId="1" xfId="0" applyNumberFormat="1" applyFill="1" applyBorder="1"/>
    <xf numFmtId="44" fontId="0" fillId="8" borderId="1" xfId="0" applyNumberFormat="1" applyFill="1" applyBorder="1"/>
    <xf numFmtId="164" fontId="5" fillId="5" borderId="0" xfId="0" applyNumberFormat="1" applyFont="1" applyFill="1" applyAlignment="1">
      <alignment horizontal="center"/>
    </xf>
    <xf numFmtId="44" fontId="0" fillId="0" borderId="13" xfId="0" applyNumberFormat="1" applyBorder="1"/>
    <xf numFmtId="1" fontId="4" fillId="0" borderId="0" xfId="1" applyNumberFormat="1" applyFont="1"/>
    <xf numFmtId="166" fontId="0" fillId="0" borderId="0" xfId="0" applyNumberFormat="1"/>
    <xf numFmtId="164" fontId="8" fillId="0" borderId="1" xfId="0" applyNumberFormat="1" applyFont="1" applyBorder="1" applyAlignment="1">
      <alignment vertical="center"/>
    </xf>
    <xf numFmtId="164" fontId="2" fillId="5" borderId="1" xfId="0" applyNumberFormat="1" applyFont="1" applyFill="1" applyBorder="1"/>
    <xf numFmtId="0" fontId="3" fillId="4" borderId="1" xfId="0" applyFont="1" applyFill="1" applyBorder="1" applyAlignment="1">
      <alignment horizontal="right" wrapText="1"/>
    </xf>
    <xf numFmtId="14" fontId="5" fillId="0" borderId="0" xfId="0" applyNumberFormat="1" applyFont="1"/>
    <xf numFmtId="14" fontId="5" fillId="0" borderId="1" xfId="0" applyNumberFormat="1" applyFont="1" applyBorder="1"/>
    <xf numFmtId="0" fontId="0" fillId="0" borderId="0" xfId="0"/>
    <xf numFmtId="0" fontId="0" fillId="0" borderId="1" xfId="0" applyBorder="1"/>
    <xf numFmtId="0" fontId="8" fillId="0" borderId="0" xfId="0" applyFont="1" applyAlignment="1">
      <alignment horizontal="center" vertical="center" wrapText="1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horizontal="center" vertical="center" wrapText="1"/>
    </xf>
    <xf numFmtId="0" fontId="11" fillId="0" borderId="0" xfId="4" applyFont="1" applyAlignment="1">
      <alignment horizontal="center"/>
    </xf>
    <xf numFmtId="166" fontId="12" fillId="0" borderId="1" xfId="4" applyNumberFormat="1" applyFont="1" applyBorder="1" applyAlignment="1">
      <alignment horizontal="left" vertical="center"/>
    </xf>
    <xf numFmtId="4" fontId="13" fillId="0" borderId="6" xfId="4" applyNumberFormat="1" applyFont="1" applyBorder="1" applyAlignment="1">
      <alignment horizontal="center" vertical="center" wrapText="1"/>
    </xf>
    <xf numFmtId="4" fontId="13" fillId="0" borderId="9" xfId="4" applyNumberFormat="1" applyFont="1" applyBorder="1" applyAlignment="1">
      <alignment horizontal="center" vertical="center" wrapText="1"/>
    </xf>
    <xf numFmtId="0" fontId="13" fillId="0" borderId="4" xfId="4" applyFont="1" applyBorder="1" applyAlignment="1">
      <alignment horizontal="center" vertical="center" wrapText="1"/>
    </xf>
    <xf numFmtId="0" fontId="13" fillId="0" borderId="8" xfId="4" applyFont="1" applyBorder="1" applyAlignment="1">
      <alignment horizontal="center" vertical="center" wrapText="1"/>
    </xf>
    <xf numFmtId="0" fontId="13" fillId="0" borderId="5" xfId="4" applyFont="1" applyBorder="1" applyAlignment="1">
      <alignment horizontal="center" vertical="center" wrapText="1"/>
    </xf>
    <xf numFmtId="0" fontId="13" fillId="0" borderId="1" xfId="4" applyFont="1" applyBorder="1" applyAlignment="1">
      <alignment horizontal="center" vertical="center" wrapText="1"/>
    </xf>
    <xf numFmtId="0" fontId="13" fillId="0" borderId="14" xfId="4" applyFont="1" applyBorder="1" applyAlignment="1">
      <alignment horizontal="center" vertical="center" wrapText="1"/>
    </xf>
    <xf numFmtId="0" fontId="13" fillId="0" borderId="7" xfId="4" applyFont="1" applyBorder="1" applyAlignment="1">
      <alignment horizontal="center" vertical="center" wrapText="1"/>
    </xf>
    <xf numFmtId="166" fontId="13" fillId="0" borderId="5" xfId="4" applyNumberFormat="1" applyFont="1" applyBorder="1" applyAlignment="1">
      <alignment horizontal="center" vertical="center" wrapText="1"/>
    </xf>
    <xf numFmtId="166" fontId="13" fillId="0" borderId="1" xfId="4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/>
    </xf>
    <xf numFmtId="164" fontId="0" fillId="0" borderId="0" xfId="0" applyNumberFormat="1" applyBorder="1"/>
    <xf numFmtId="0" fontId="0" fillId="0" borderId="1" xfId="0" applyFill="1" applyBorder="1"/>
    <xf numFmtId="0" fontId="5" fillId="0" borderId="13" xfId="0" applyFont="1" applyFill="1" applyBorder="1"/>
    <xf numFmtId="0" fontId="0" fillId="0" borderId="1" xfId="0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/>
    <xf numFmtId="44" fontId="2" fillId="9" borderId="2" xfId="0" applyNumberFormat="1" applyFont="1" applyFill="1" applyBorder="1"/>
    <xf numFmtId="14" fontId="0" fillId="0" borderId="10" xfId="0" applyNumberFormat="1" applyBorder="1"/>
    <xf numFmtId="164" fontId="0" fillId="9" borderId="2" xfId="0" applyNumberFormat="1" applyFill="1" applyBorder="1"/>
    <xf numFmtId="164" fontId="0" fillId="4" borderId="0" xfId="0" applyNumberFormat="1" applyFill="1" applyBorder="1"/>
    <xf numFmtId="9" fontId="0" fillId="0" borderId="1" xfId="0" applyNumberFormat="1" applyBorder="1"/>
    <xf numFmtId="10" fontId="0" fillId="0" borderId="1" xfId="1" applyNumberFormat="1" applyFont="1" applyBorder="1"/>
    <xf numFmtId="9" fontId="4" fillId="4" borderId="1" xfId="0" applyNumberFormat="1" applyFont="1" applyFill="1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3" borderId="0" xfId="0" applyNumberFormat="1" applyFill="1"/>
  </cellXfs>
  <cellStyles count="5">
    <cellStyle name="TableStyleLight1" xfId="4"/>
    <cellStyle name="Обычный" xfId="0" builtinId="0"/>
    <cellStyle name="Обычный 2" xfId="2"/>
    <cellStyle name="Процентный" xfId="1" builtinId="5"/>
    <cellStyle name="Процентный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2"/>
  <sheetViews>
    <sheetView zoomScale="85" zoomScaleNormal="85" workbookViewId="0">
      <selection activeCell="G19" sqref="G19"/>
    </sheetView>
  </sheetViews>
  <sheetFormatPr defaultRowHeight="15" x14ac:dyDescent="0.25"/>
  <cols>
    <col min="1" max="1" width="9.140625" bestFit="1" customWidth="1"/>
    <col min="2" max="2" width="69" bestFit="1" customWidth="1"/>
    <col min="3" max="3" width="15.42578125" bestFit="1" customWidth="1"/>
    <col min="4" max="4" width="14.85546875" style="11" bestFit="1" customWidth="1"/>
    <col min="5" max="5" width="17.42578125" bestFit="1" customWidth="1"/>
    <col min="6" max="13" width="15.85546875" bestFit="1" customWidth="1"/>
    <col min="14" max="14" width="16.7109375" bestFit="1" customWidth="1"/>
  </cols>
  <sheetData>
    <row r="2" spans="1:14" ht="57.95" customHeight="1" x14ac:dyDescent="0.25">
      <c r="A2" s="15"/>
      <c r="B2" s="82" t="s">
        <v>88</v>
      </c>
      <c r="C2" s="23">
        <f>'Ставка дисконтирования'!C9</f>
        <v>1.6708963873128146E-2</v>
      </c>
      <c r="D2" s="121" t="s">
        <v>110</v>
      </c>
      <c r="E2" s="4">
        <f>'Оттоки (Расходы)'!D12</f>
        <v>113000000</v>
      </c>
      <c r="F2" s="3"/>
      <c r="G2" s="3"/>
      <c r="H2" s="3"/>
      <c r="I2" s="3"/>
      <c r="J2" s="3"/>
      <c r="K2" s="3"/>
    </row>
    <row r="3" spans="1:14" s="83" customFormat="1" x14ac:dyDescent="0.25">
      <c r="B3" s="84" t="s">
        <v>89</v>
      </c>
      <c r="C3" s="84">
        <f>'Оттоки (Расходы)'!G3</f>
        <v>45747</v>
      </c>
      <c r="D3" s="84">
        <f>'Оттоки (Расходы)'!G4</f>
        <v>45777</v>
      </c>
      <c r="E3" s="84">
        <f>'Оттоки (Расходы)'!G5</f>
        <v>45808</v>
      </c>
      <c r="F3" s="84">
        <f>'Оттоки (Расходы)'!G6</f>
        <v>45838</v>
      </c>
      <c r="G3" s="84">
        <f>'Оттоки (Расходы)'!G7</f>
        <v>45869</v>
      </c>
      <c r="H3" s="84">
        <f>'Оттоки (Расходы)'!G8</f>
        <v>45900</v>
      </c>
      <c r="I3" s="84">
        <f>'Оттоки (Расходы)'!G9</f>
        <v>45930</v>
      </c>
      <c r="J3" s="84">
        <f>'Оттоки (Расходы)'!G10</f>
        <v>45961</v>
      </c>
      <c r="K3" s="84">
        <f>'Оттоки (Расходы)'!G11</f>
        <v>45991</v>
      </c>
      <c r="L3" s="84">
        <f>'Оттоки (Расходы)'!G12</f>
        <v>46022</v>
      </c>
      <c r="M3" s="84">
        <f>'Оттоки (Расходы)'!G13</f>
        <v>46053</v>
      </c>
      <c r="N3" s="84">
        <f>'Оттоки (Расходы)'!G14</f>
        <v>46081</v>
      </c>
    </row>
    <row r="4" spans="1:14" ht="15" customHeight="1" x14ac:dyDescent="0.35">
      <c r="B4" s="3"/>
      <c r="C4" s="3">
        <v>0</v>
      </c>
      <c r="D4" s="24">
        <v>1</v>
      </c>
      <c r="E4" s="3">
        <v>2</v>
      </c>
      <c r="F4" s="86">
        <v>3</v>
      </c>
      <c r="G4" s="24">
        <v>4</v>
      </c>
      <c r="H4" s="86">
        <v>5</v>
      </c>
      <c r="I4" s="86">
        <v>6</v>
      </c>
      <c r="J4" s="24">
        <v>7</v>
      </c>
      <c r="K4" s="86">
        <v>8</v>
      </c>
      <c r="L4" s="86">
        <v>9</v>
      </c>
      <c r="M4" s="24">
        <v>10</v>
      </c>
      <c r="N4" s="86">
        <v>11</v>
      </c>
    </row>
    <row r="5" spans="1:14" x14ac:dyDescent="0.25">
      <c r="B5" s="3" t="s">
        <v>13</v>
      </c>
      <c r="C5" s="14">
        <f>'Притоки (Доходная часть)'!L3</f>
        <v>802500</v>
      </c>
      <c r="D5" s="25">
        <f>'Притоки (Доходная часть)'!L4</f>
        <v>802500</v>
      </c>
      <c r="E5" s="14">
        <f>'Притоки (Доходная часть)'!L5</f>
        <v>802500</v>
      </c>
      <c r="F5" s="14">
        <f>'Притоки (Доходная часть)'!L6</f>
        <v>802500</v>
      </c>
      <c r="G5" s="14">
        <f>'Притоки (Доходная часть)'!L7</f>
        <v>802500</v>
      </c>
      <c r="H5" s="14">
        <f>'Притоки (Доходная часть)'!L8</f>
        <v>802500</v>
      </c>
      <c r="I5" s="14">
        <f>'Притоки (Доходная часть)'!L9</f>
        <v>802500</v>
      </c>
      <c r="J5" s="14">
        <f>'Притоки (Доходная часть)'!L10</f>
        <v>802500</v>
      </c>
      <c r="K5" s="14">
        <f>'Притоки (Доходная часть)'!L11</f>
        <v>802500</v>
      </c>
      <c r="L5" s="1">
        <f>'Притоки (Доходная часть)'!L12</f>
        <v>802500</v>
      </c>
      <c r="M5" s="1">
        <f>'Притоки (Доходная часть)'!L13</f>
        <v>802500</v>
      </c>
      <c r="N5" s="1">
        <f>'Притоки (Доходная часть)'!L14</f>
        <v>155700000</v>
      </c>
    </row>
    <row r="6" spans="1:14" x14ac:dyDescent="0.25">
      <c r="B6" s="3" t="s">
        <v>14</v>
      </c>
      <c r="C6" s="4">
        <f>'Оттоки (Расходы)'!I3</f>
        <v>-95000000</v>
      </c>
      <c r="D6" s="26">
        <f>'Оттоки (Расходы)'!I4</f>
        <v>-3404448.2758620689</v>
      </c>
      <c r="E6" s="4">
        <f>'Оттоки (Расходы)'!I5</f>
        <v>-3404448.2758620689</v>
      </c>
      <c r="F6" s="4">
        <f>'Оттоки (Расходы)'!I6</f>
        <v>-3404448.2758620689</v>
      </c>
      <c r="G6" s="4">
        <f>'Оттоки (Расходы)'!I7</f>
        <v>-3404448.2758620689</v>
      </c>
      <c r="H6" s="4">
        <f>'Оттоки (Расходы)'!I8</f>
        <v>-3404448.2758620689</v>
      </c>
      <c r="I6" s="4">
        <f>'Оттоки (Расходы)'!I9</f>
        <v>-3404448.2758620689</v>
      </c>
      <c r="J6" s="4">
        <f>'Оттоки (Расходы)'!I10</f>
        <v>-404448.27586206899</v>
      </c>
      <c r="K6" s="4">
        <f>'Оттоки (Расходы)'!I11</f>
        <v>-404448.27586206899</v>
      </c>
      <c r="L6" s="1">
        <f>'Оттоки (Расходы)'!I12</f>
        <v>-404448.27586206899</v>
      </c>
      <c r="M6" s="1">
        <f>'Оттоки (Расходы)'!I13</f>
        <v>-404448.27586206899</v>
      </c>
      <c r="N6" s="1">
        <f>'Оттоки (Расходы)'!I14</f>
        <v>-404448.27586206899</v>
      </c>
    </row>
    <row r="7" spans="1:14" s="16" customFormat="1" x14ac:dyDescent="0.25">
      <c r="B7" s="27" t="s">
        <v>8</v>
      </c>
      <c r="C7" s="19">
        <f>SUM(C5:C6)</f>
        <v>-94197500</v>
      </c>
      <c r="D7" s="19">
        <f t="shared" ref="D7:N7" si="0">SUM(D5:D6)</f>
        <v>-2601948.2758620689</v>
      </c>
      <c r="E7" s="19">
        <f>SUM(E5:E6)</f>
        <v>-2601948.2758620689</v>
      </c>
      <c r="F7" s="19">
        <f t="shared" si="0"/>
        <v>-2601948.2758620689</v>
      </c>
      <c r="G7" s="19">
        <f t="shared" si="0"/>
        <v>-2601948.2758620689</v>
      </c>
      <c r="H7" s="19">
        <f t="shared" si="0"/>
        <v>-2601948.2758620689</v>
      </c>
      <c r="I7" s="19">
        <f t="shared" si="0"/>
        <v>-2601948.2758620689</v>
      </c>
      <c r="J7" s="19">
        <f t="shared" si="0"/>
        <v>398051.72413793101</v>
      </c>
      <c r="K7" s="19">
        <f t="shared" si="0"/>
        <v>398051.72413793101</v>
      </c>
      <c r="L7" s="19">
        <f t="shared" si="0"/>
        <v>398051.72413793101</v>
      </c>
      <c r="M7" s="19">
        <f t="shared" si="0"/>
        <v>398051.72413793101</v>
      </c>
      <c r="N7" s="19">
        <f t="shared" si="0"/>
        <v>155295551.72413793</v>
      </c>
    </row>
    <row r="8" spans="1:14" x14ac:dyDescent="0.25">
      <c r="B8" s="3" t="s">
        <v>7</v>
      </c>
      <c r="C8" s="14">
        <f>SUM($C$7:C7)</f>
        <v>-94197500</v>
      </c>
      <c r="D8" s="14">
        <f>SUM($C$7:D7)</f>
        <v>-96799448.275862068</v>
      </c>
      <c r="E8" s="14">
        <f>SUM($C$7:E7)</f>
        <v>-99401396.551724136</v>
      </c>
      <c r="F8" s="14">
        <f>SUM($C$7:F7)</f>
        <v>-102003344.8275862</v>
      </c>
      <c r="G8" s="14">
        <f>SUM($C$7:G7)</f>
        <v>-104605293.10344827</v>
      </c>
      <c r="H8" s="14">
        <f>SUM($C$7:H7)</f>
        <v>-107207241.37931034</v>
      </c>
      <c r="I8" s="14">
        <f>SUM($C$7:I7)</f>
        <v>-109809189.65517241</v>
      </c>
      <c r="J8" s="14">
        <f>SUM($C$7:J7)</f>
        <v>-109411137.93103448</v>
      </c>
      <c r="K8" s="14">
        <f>SUM($C$7:K7)</f>
        <v>-109013086.20689654</v>
      </c>
      <c r="L8" s="14">
        <f>SUM($C$7:L7)</f>
        <v>-108615034.48275861</v>
      </c>
      <c r="M8" s="14">
        <f>SUM($C$7:M7)</f>
        <v>-108216982.75862068</v>
      </c>
      <c r="N8" s="14">
        <f>SUM($C$7:N7)</f>
        <v>47078568.965517253</v>
      </c>
    </row>
    <row r="9" spans="1:14" x14ac:dyDescent="0.25">
      <c r="B9" s="3" t="s">
        <v>1</v>
      </c>
      <c r="C9" s="3">
        <f>1/POWER(1+$C$2,C4)</f>
        <v>1</v>
      </c>
      <c r="D9" s="86">
        <f t="shared" ref="D9:N9" si="1">1/POWER(1+$C$2,D4)</f>
        <v>0.98356563729951219</v>
      </c>
      <c r="E9" s="86">
        <f t="shared" si="1"/>
        <v>0.96740136287639555</v>
      </c>
      <c r="F9" s="86">
        <f t="shared" si="1"/>
        <v>0.95150273800193863</v>
      </c>
      <c r="G9" s="86">
        <f t="shared" si="1"/>
        <v>0.9358653968951075</v>
      </c>
      <c r="H9" s="86">
        <f t="shared" si="1"/>
        <v>0.92048504552369736</v>
      </c>
      <c r="I9" s="86">
        <f t="shared" si="1"/>
        <v>0.90535746042518583</v>
      </c>
      <c r="J9" s="86">
        <f t="shared" si="1"/>
        <v>0.89047848754696568</v>
      </c>
      <c r="K9" s="86">
        <f t="shared" si="1"/>
        <v>0.87584404110563696</v>
      </c>
      <c r="L9" s="86">
        <f t="shared" si="1"/>
        <v>0.86145010246504605</v>
      </c>
      <c r="M9" s="86">
        <f t="shared" si="1"/>
        <v>0.84729271903276293</v>
      </c>
      <c r="N9" s="86">
        <f t="shared" si="1"/>
        <v>0.83336800317469617</v>
      </c>
    </row>
    <row r="10" spans="1:14" x14ac:dyDescent="0.25">
      <c r="B10" s="3" t="s">
        <v>16</v>
      </c>
      <c r="C10" s="4">
        <f>C5*C9</f>
        <v>802500</v>
      </c>
      <c r="D10" s="4">
        <f>D5*D9</f>
        <v>789311.42393285851</v>
      </c>
      <c r="E10" s="4">
        <f>E5*E9</f>
        <v>776339.59370830748</v>
      </c>
      <c r="F10" s="4">
        <f t="shared" ref="F10:J10" si="2">F5*F9</f>
        <v>763580.9472465557</v>
      </c>
      <c r="G10" s="4">
        <f t="shared" si="2"/>
        <v>751031.98100832372</v>
      </c>
      <c r="H10" s="4">
        <f t="shared" si="2"/>
        <v>738689.24903276714</v>
      </c>
      <c r="I10" s="4">
        <f t="shared" si="2"/>
        <v>726549.36199121166</v>
      </c>
      <c r="J10" s="4">
        <f t="shared" si="2"/>
        <v>714608.98625643994</v>
      </c>
      <c r="K10" s="4">
        <f>K5*K9</f>
        <v>702864.8429872737</v>
      </c>
      <c r="L10" s="4">
        <f>L5*L9</f>
        <v>691313.70722819946</v>
      </c>
      <c r="M10" s="4">
        <f t="shared" ref="M10:N10" si="3">M5*M9</f>
        <v>679952.40702379227</v>
      </c>
      <c r="N10" s="4">
        <f t="shared" si="3"/>
        <v>129755398.0943002</v>
      </c>
    </row>
    <row r="11" spans="1:14" x14ac:dyDescent="0.25">
      <c r="B11" s="3" t="s">
        <v>15</v>
      </c>
      <c r="C11" s="4">
        <f>C6*C9</f>
        <v>-95000000</v>
      </c>
      <c r="D11" s="4">
        <f>D6*D9</f>
        <v>-3348498.3381015011</v>
      </c>
      <c r="E11" s="4">
        <f>E6*E9</f>
        <v>-3293467.9019111604</v>
      </c>
      <c r="F11" s="4">
        <f t="shared" ref="F11:N11" si="4">F6*F9</f>
        <v>-3239341.8558687377</v>
      </c>
      <c r="G11" s="4">
        <f t="shared" si="4"/>
        <v>-3186105.3368985197</v>
      </c>
      <c r="H11" s="4">
        <f>H6*H9</f>
        <v>-3133743.7261899696</v>
      </c>
      <c r="I11" s="4">
        <f t="shared" si="4"/>
        <v>-3082242.6451833853</v>
      </c>
      <c r="J11" s="4">
        <f t="shared" si="4"/>
        <v>-360152.48898063315</v>
      </c>
      <c r="K11" s="4">
        <f t="shared" si="4"/>
        <v>-354233.61234924197</v>
      </c>
      <c r="L11" s="4">
        <f t="shared" si="4"/>
        <v>-348412.00868319056</v>
      </c>
      <c r="M11" s="4">
        <f t="shared" si="4"/>
        <v>-342686.07936328539</v>
      </c>
      <c r="N11" s="4">
        <f t="shared" si="4"/>
        <v>-337054.25204262108</v>
      </c>
    </row>
    <row r="12" spans="1:14" s="16" customFormat="1" x14ac:dyDescent="0.25">
      <c r="B12" s="27" t="s">
        <v>9</v>
      </c>
      <c r="C12" s="28">
        <f>SUM(C10:C11)</f>
        <v>-94197500</v>
      </c>
      <c r="D12" s="28">
        <f>SUM(D10:D11)</f>
        <v>-2559186.9141686428</v>
      </c>
      <c r="E12" s="28">
        <f t="shared" ref="E12:N12" si="5">SUM(E10:E11)</f>
        <v>-2517128.308202853</v>
      </c>
      <c r="F12" s="28">
        <f t="shared" si="5"/>
        <v>-2475760.908622182</v>
      </c>
      <c r="G12" s="28">
        <f t="shared" si="5"/>
        <v>-2435073.3558901958</v>
      </c>
      <c r="H12" s="28">
        <f t="shared" si="5"/>
        <v>-2395054.4771572025</v>
      </c>
      <c r="I12" s="28">
        <f t="shared" si="5"/>
        <v>-2355693.2831921736</v>
      </c>
      <c r="J12" s="28">
        <f t="shared" si="5"/>
        <v>354456.49727580679</v>
      </c>
      <c r="K12" s="28">
        <f t="shared" si="5"/>
        <v>348631.23063803173</v>
      </c>
      <c r="L12" s="28">
        <f t="shared" si="5"/>
        <v>342901.6985450089</v>
      </c>
      <c r="M12" s="28">
        <f t="shared" si="5"/>
        <v>337266.32766050688</v>
      </c>
      <c r="N12" s="28">
        <f t="shared" si="5"/>
        <v>129418343.84225757</v>
      </c>
    </row>
    <row r="13" spans="1:14" x14ac:dyDescent="0.25">
      <c r="B13" s="3" t="s">
        <v>10</v>
      </c>
      <c r="C13" s="14">
        <f>SUM($C$12:C12)</f>
        <v>-94197500</v>
      </c>
      <c r="D13" s="14">
        <f>SUM($C$12:D12)</f>
        <v>-96756686.914168641</v>
      </c>
      <c r="E13" s="14">
        <f>SUM($C$12:E12)</f>
        <v>-99273815.222371489</v>
      </c>
      <c r="F13" s="14">
        <f>SUM($C$12:F12)</f>
        <v>-101749576.13099366</v>
      </c>
      <c r="G13" s="14">
        <f>SUM($C$12:G12)</f>
        <v>-104184649.48688386</v>
      </c>
      <c r="H13" s="14">
        <f>SUM($C$12:H12)</f>
        <v>-106579703.96404107</v>
      </c>
      <c r="I13" s="14">
        <f>SUM($C$12:I12)</f>
        <v>-108935397.24723324</v>
      </c>
      <c r="J13" s="14">
        <f>SUM($C$12:J12)</f>
        <v>-108580940.74995744</v>
      </c>
      <c r="K13" s="14">
        <f>SUM($C$12:K12)</f>
        <v>-108232309.51931942</v>
      </c>
      <c r="L13" s="14">
        <f>SUM($C$12:L12)</f>
        <v>-107889407.82077441</v>
      </c>
      <c r="M13" s="14">
        <f>SUM($C$12:M12)</f>
        <v>-107552141.49311391</v>
      </c>
      <c r="N13" s="14">
        <f>SUM($C$12:N12)</f>
        <v>21866202.349143669</v>
      </c>
    </row>
    <row r="14" spans="1:14" s="85" customFormat="1" x14ac:dyDescent="0.25">
      <c r="B14" s="6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</row>
    <row r="15" spans="1:14" s="85" customFormat="1" x14ac:dyDescent="0.25">
      <c r="B15" s="109" t="s">
        <v>94</v>
      </c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</row>
    <row r="16" spans="1:14" s="85" customFormat="1" ht="30" x14ac:dyDescent="0.25">
      <c r="B16" s="110" t="s">
        <v>95</v>
      </c>
      <c r="C16" s="14">
        <f xml:space="preserve"> 'Притоки (Доходная часть)'!F21 - ABS('Оттоки (Расходы)'!F10)*12</f>
        <v>4776620.6896551717</v>
      </c>
      <c r="D16" s="107" t="s">
        <v>106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</row>
    <row r="17" spans="2:14" s="85" customFormat="1" x14ac:dyDescent="0.25">
      <c r="B17" s="108" t="s">
        <v>96</v>
      </c>
      <c r="C17" s="119">
        <f xml:space="preserve"> C16 / 'Оттоки (Расходы)'!F3</f>
        <v>5.0280217785843913E-2</v>
      </c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</row>
    <row r="18" spans="2:14" s="85" customFormat="1" x14ac:dyDescent="0.25">
      <c r="B18" s="86" t="s">
        <v>97</v>
      </c>
      <c r="C18" s="119">
        <f>1-(SUMIF('Притоки (Доходная часть)'!D3:D20, "&gt;0", 'Притоки (Доходная часть)'!C3:C20)/SUM('Притоки (Доходная часть)'!C3:C20))</f>
        <v>7.2254335260115599E-2</v>
      </c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</row>
    <row r="19" spans="2:14" x14ac:dyDescent="0.25">
      <c r="B19" s="3" t="s">
        <v>98</v>
      </c>
      <c r="C19" s="14">
        <f>XNPV('Ставка дисконтирования'!C3,C7:N7,C3:N3)</f>
        <v>21908021.812638015</v>
      </c>
      <c r="D19" s="22" t="str">
        <f>IF(C19&lt;0, "Не подходит", "Подходит")</f>
        <v>Подходит</v>
      </c>
    </row>
    <row r="20" spans="2:14" x14ac:dyDescent="0.25">
      <c r="B20" s="3" t="s">
        <v>99</v>
      </c>
      <c r="C20" s="20">
        <f>XIRR(C7:N7,C3:N3,)</f>
        <v>0.5041745483875274</v>
      </c>
      <c r="D20" s="22" t="str">
        <f>IF(C20&lt;0, "Не подходит", "Подходит")</f>
        <v>Подходит</v>
      </c>
    </row>
    <row r="21" spans="2:14" x14ac:dyDescent="0.25">
      <c r="B21" s="3" t="s">
        <v>100</v>
      </c>
      <c r="C21" s="21">
        <f>(C19+E2)/E2</f>
        <v>1.193876299226885</v>
      </c>
      <c r="D21" s="22" t="str">
        <f>IF(C21&lt;1, "Не инвестировать", "Инвестировать")</f>
        <v>Инвестировать</v>
      </c>
      <c r="E21" s="79"/>
    </row>
    <row r="22" spans="2:14" x14ac:dyDescent="0.25">
      <c r="B22" s="111" t="s">
        <v>101</v>
      </c>
      <c r="C22" s="13">
        <f>MAX(C25:N25)</f>
        <v>10.696845347836195</v>
      </c>
      <c r="D22" s="11" t="s">
        <v>107</v>
      </c>
    </row>
    <row r="23" spans="2:14" x14ac:dyDescent="0.25">
      <c r="B23" s="112" t="s">
        <v>102</v>
      </c>
      <c r="C23" s="13">
        <f>MAX(C26:N26)</f>
        <v>10.83104248053278</v>
      </c>
      <c r="D23" s="11" t="s">
        <v>107</v>
      </c>
    </row>
    <row r="24" spans="2:14" x14ac:dyDescent="0.25">
      <c r="B24" s="113" t="s">
        <v>103</v>
      </c>
      <c r="C24" s="120">
        <f>N8/E2</f>
        <v>0.41662450411962171</v>
      </c>
      <c r="D24" s="78"/>
      <c r="E24" s="10"/>
    </row>
    <row r="25" spans="2:14" ht="14.45" x14ac:dyDescent="0.35">
      <c r="B25" s="12" t="s">
        <v>11</v>
      </c>
      <c r="C25" s="3" t="str">
        <f t="shared" ref="C25:N25" si="6">IF(AND(C8&gt;0,B8&lt;0),B4+(1-C8/C7),"")</f>
        <v/>
      </c>
      <c r="D25" s="3" t="str">
        <f t="shared" si="6"/>
        <v/>
      </c>
      <c r="E25" s="3" t="str">
        <f t="shared" si="6"/>
        <v/>
      </c>
      <c r="F25" s="3" t="str">
        <f t="shared" si="6"/>
        <v/>
      </c>
      <c r="G25" s="3" t="str">
        <f t="shared" si="6"/>
        <v/>
      </c>
      <c r="H25" s="13" t="str">
        <f t="shared" si="6"/>
        <v/>
      </c>
      <c r="I25" s="3" t="str">
        <f t="shared" si="6"/>
        <v/>
      </c>
      <c r="J25" s="3" t="str">
        <f t="shared" si="6"/>
        <v/>
      </c>
      <c r="K25" s="3" t="str">
        <f t="shared" si="6"/>
        <v/>
      </c>
      <c r="L25" s="3" t="str">
        <f t="shared" si="6"/>
        <v/>
      </c>
      <c r="M25" s="3" t="str">
        <f t="shared" si="6"/>
        <v/>
      </c>
      <c r="N25" s="3">
        <f t="shared" si="6"/>
        <v>10.696845347836195</v>
      </c>
    </row>
    <row r="26" spans="2:14" ht="14.45" x14ac:dyDescent="0.35">
      <c r="B26" s="12" t="s">
        <v>12</v>
      </c>
      <c r="C26" s="3" t="str">
        <f>IF(AND(C13&gt;0,B13&lt;0),B4+(1-C13/C12),"")</f>
        <v/>
      </c>
      <c r="D26" s="3" t="str">
        <f t="shared" ref="C26:N26" si="7">IF(AND(D13&gt;0,C13&lt;0),C4+(1-D13/D12),"")</f>
        <v/>
      </c>
      <c r="E26" s="3" t="str">
        <f t="shared" si="7"/>
        <v/>
      </c>
      <c r="F26" s="3" t="str">
        <f t="shared" si="7"/>
        <v/>
      </c>
      <c r="G26" s="3" t="str">
        <f t="shared" si="7"/>
        <v/>
      </c>
      <c r="H26" s="13" t="str">
        <f t="shared" si="7"/>
        <v/>
      </c>
      <c r="I26" s="3" t="str">
        <f t="shared" si="7"/>
        <v/>
      </c>
      <c r="J26" s="3" t="str">
        <f t="shared" si="7"/>
        <v/>
      </c>
      <c r="K26" s="3" t="str">
        <f t="shared" si="7"/>
        <v/>
      </c>
      <c r="L26" s="3" t="str">
        <f t="shared" si="7"/>
        <v/>
      </c>
      <c r="M26" s="3" t="str">
        <f t="shared" si="7"/>
        <v/>
      </c>
      <c r="N26" s="3">
        <f t="shared" si="7"/>
        <v>10.83104248053278</v>
      </c>
    </row>
    <row r="32" spans="2:14" x14ac:dyDescent="0.25">
      <c r="C32" s="6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zoomScale="70" zoomScaleNormal="70" workbookViewId="0">
      <selection activeCell="C3" sqref="C3"/>
    </sheetView>
  </sheetViews>
  <sheetFormatPr defaultRowHeight="15" x14ac:dyDescent="0.25"/>
  <cols>
    <col min="2" max="2" width="18.85546875" bestFit="1" customWidth="1"/>
    <col min="3" max="3" width="10.42578125" bestFit="1" customWidth="1"/>
  </cols>
  <sheetData>
    <row r="2" spans="2:4" x14ac:dyDescent="0.25">
      <c r="B2" t="s">
        <v>20</v>
      </c>
      <c r="C2" s="7">
        <v>0</v>
      </c>
    </row>
    <row r="3" spans="2:4" ht="60" x14ac:dyDescent="0.25">
      <c r="B3" s="2" t="s">
        <v>21</v>
      </c>
      <c r="C3" s="125">
        <v>0.22</v>
      </c>
      <c r="D3" t="s">
        <v>111</v>
      </c>
    </row>
    <row r="4" spans="2:4" ht="60" x14ac:dyDescent="0.25">
      <c r="B4" s="2" t="s">
        <v>22</v>
      </c>
      <c r="C4" s="8"/>
    </row>
    <row r="5" spans="2:4" x14ac:dyDescent="0.25">
      <c r="B5" t="s">
        <v>3</v>
      </c>
    </row>
    <row r="6" spans="2:4" ht="14.45" x14ac:dyDescent="0.35">
      <c r="B6" t="s">
        <v>4</v>
      </c>
      <c r="C6" t="e">
        <f>'Притоки (Доходная часть)'!L13/'Оттоки (Расходы)'!I18*100</f>
        <v>#DIV/0!</v>
      </c>
    </row>
    <row r="7" spans="2:4" ht="14.45" x14ac:dyDescent="0.35">
      <c r="B7" t="s">
        <v>5</v>
      </c>
      <c r="C7" s="5" t="e">
        <f>'Притоки (Доходная часть)'!L13/'Оттоки (Расходы)'!I18</f>
        <v>#DIV/0!</v>
      </c>
    </row>
    <row r="8" spans="2:4" thickBot="1" x14ac:dyDescent="0.4"/>
    <row r="9" spans="2:4" ht="15.75" thickBot="1" x14ac:dyDescent="0.3">
      <c r="B9" t="s">
        <v>86</v>
      </c>
      <c r="C9" s="9">
        <f>(1+C3)^(1/12)-1</f>
        <v>1.6708963873128146E-2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9"/>
  <sheetViews>
    <sheetView topLeftCell="B1" zoomScale="90" zoomScaleNormal="90" workbookViewId="0">
      <selection activeCell="N13" sqref="N13"/>
    </sheetView>
  </sheetViews>
  <sheetFormatPr defaultRowHeight="15" x14ac:dyDescent="0.25"/>
  <cols>
    <col min="2" max="2" width="9.140625" style="85"/>
    <col min="4" max="4" width="17.7109375" style="1" bestFit="1" customWidth="1"/>
    <col min="5" max="5" width="14.140625" customWidth="1"/>
    <col min="6" max="6" width="22.140625" customWidth="1"/>
    <col min="7" max="7" width="17" customWidth="1"/>
    <col min="8" max="8" width="10" bestFit="1" customWidth="1"/>
    <col min="9" max="9" width="26.140625" bestFit="1" customWidth="1"/>
    <col min="11" max="11" width="9.85546875" bestFit="1" customWidth="1"/>
    <col min="12" max="12" width="16.7109375" bestFit="1" customWidth="1"/>
  </cols>
  <sheetData>
    <row r="2" spans="1:12" x14ac:dyDescent="0.25">
      <c r="C2" s="3" t="s">
        <v>2</v>
      </c>
      <c r="D2" s="4"/>
      <c r="E2" s="3"/>
      <c r="F2" s="3"/>
      <c r="G2" s="3"/>
      <c r="H2" s="3" t="s">
        <v>0</v>
      </c>
      <c r="I2" s="3" t="s">
        <v>6</v>
      </c>
    </row>
    <row r="3" spans="1:12" ht="15.75" thickBot="1" x14ac:dyDescent="0.3">
      <c r="C3" s="18" t="s">
        <v>62</v>
      </c>
      <c r="D3" s="4"/>
      <c r="E3" s="3"/>
      <c r="F3" s="75">
        <v>95000000</v>
      </c>
      <c r="G3" s="57">
        <v>45747</v>
      </c>
      <c r="H3" s="57">
        <v>45747</v>
      </c>
      <c r="I3" s="58">
        <f>L3</f>
        <v>-95000000</v>
      </c>
      <c r="K3" s="57">
        <v>45747</v>
      </c>
      <c r="L3" s="61">
        <f>-F3</f>
        <v>-95000000</v>
      </c>
    </row>
    <row r="4" spans="1:12" x14ac:dyDescent="0.25">
      <c r="B4" s="123" t="s">
        <v>108</v>
      </c>
      <c r="C4" s="66" t="s">
        <v>33</v>
      </c>
      <c r="D4" s="56"/>
      <c r="E4" s="4"/>
      <c r="F4" s="64">
        <f>'Штатная структура'!H10</f>
        <v>369448.27586206899</v>
      </c>
      <c r="G4" s="57">
        <v>45777</v>
      </c>
      <c r="H4" s="57">
        <v>45777</v>
      </c>
      <c r="I4" s="58">
        <f t="shared" ref="I4:I13" si="0">L4</f>
        <v>-3404448.2758620689</v>
      </c>
      <c r="K4" s="57">
        <v>45777</v>
      </c>
      <c r="L4" s="81">
        <f>$F$9</f>
        <v>-3404448.2758620689</v>
      </c>
    </row>
    <row r="5" spans="1:12" ht="15.75" thickBot="1" x14ac:dyDescent="0.3">
      <c r="B5" s="124"/>
      <c r="C5" s="66" t="s">
        <v>19</v>
      </c>
      <c r="D5" s="56"/>
      <c r="E5" s="3"/>
      <c r="F5" s="64">
        <f>Коммуналка!H13</f>
        <v>35000</v>
      </c>
      <c r="G5" s="57">
        <v>45808</v>
      </c>
      <c r="H5" s="57">
        <v>45808</v>
      </c>
      <c r="I5" s="58">
        <f t="shared" si="0"/>
        <v>-3404448.2758620689</v>
      </c>
      <c r="K5" s="57">
        <v>45808</v>
      </c>
      <c r="L5" s="81">
        <f t="shared" ref="L5:L9" si="1">$F$9</f>
        <v>-3404448.2758620689</v>
      </c>
    </row>
    <row r="6" spans="1:12" x14ac:dyDescent="0.25">
      <c r="C6" s="3" t="s">
        <v>84</v>
      </c>
      <c r="D6" s="56"/>
      <c r="E6" s="3"/>
      <c r="F6" s="74">
        <f>'Подведение коммуникаций'!E12</f>
        <v>0</v>
      </c>
      <c r="G6" s="57">
        <v>45838</v>
      </c>
      <c r="H6" s="57">
        <v>45838</v>
      </c>
      <c r="I6" s="58">
        <f t="shared" si="0"/>
        <v>-3404448.2758620689</v>
      </c>
      <c r="K6" s="57">
        <v>45838</v>
      </c>
      <c r="L6" s="81">
        <f t="shared" si="1"/>
        <v>-3404448.2758620689</v>
      </c>
    </row>
    <row r="7" spans="1:12" x14ac:dyDescent="0.25">
      <c r="C7" s="3" t="s">
        <v>93</v>
      </c>
      <c r="D7" s="56"/>
      <c r="E7" s="3" t="s">
        <v>82</v>
      </c>
      <c r="F7" s="74">
        <v>18000000</v>
      </c>
      <c r="G7" s="57">
        <v>45869</v>
      </c>
      <c r="H7" s="57">
        <v>45869</v>
      </c>
      <c r="I7" s="58">
        <f t="shared" si="0"/>
        <v>-3404448.2758620689</v>
      </c>
      <c r="K7" s="57">
        <v>45869</v>
      </c>
      <c r="L7" s="81">
        <f t="shared" si="1"/>
        <v>-3404448.2758620689</v>
      </c>
    </row>
    <row r="8" spans="1:12" x14ac:dyDescent="0.25">
      <c r="D8" s="30"/>
      <c r="E8" t="s">
        <v>83</v>
      </c>
      <c r="F8" s="73">
        <f>F7/6</f>
        <v>3000000</v>
      </c>
      <c r="G8" s="57">
        <v>45900</v>
      </c>
      <c r="H8" s="57">
        <v>45900</v>
      </c>
      <c r="I8" s="58">
        <f t="shared" si="0"/>
        <v>-3404448.2758620689</v>
      </c>
      <c r="K8" s="57">
        <v>45900</v>
      </c>
      <c r="L8" s="81">
        <f t="shared" si="1"/>
        <v>-3404448.2758620689</v>
      </c>
    </row>
    <row r="9" spans="1:12" ht="15.75" thickBot="1" x14ac:dyDescent="0.3">
      <c r="C9" s="59" t="s">
        <v>63</v>
      </c>
      <c r="D9" s="60"/>
      <c r="E9" s="29"/>
      <c r="F9" s="118">
        <f>-SUM(F4,F5,F8)</f>
        <v>-3404448.2758620689</v>
      </c>
      <c r="G9" s="116">
        <v>45930</v>
      </c>
      <c r="H9" s="57">
        <v>45930</v>
      </c>
      <c r="I9" s="58">
        <f t="shared" si="0"/>
        <v>-3404448.2758620689</v>
      </c>
      <c r="K9" s="57">
        <v>45930</v>
      </c>
      <c r="L9" s="81">
        <f t="shared" si="1"/>
        <v>-3404448.2758620689</v>
      </c>
    </row>
    <row r="10" spans="1:12" ht="15.75" thickBot="1" x14ac:dyDescent="0.3">
      <c r="C10" s="3" t="s">
        <v>18</v>
      </c>
      <c r="D10" s="14">
        <f>SUM(F4:F5)</f>
        <v>404448.27586206899</v>
      </c>
      <c r="E10" s="6">
        <f>D10*12</f>
        <v>4853379.3103448283</v>
      </c>
      <c r="F10" s="117">
        <f>-SUM(F4,F6,F5)</f>
        <v>-404448.27586206899</v>
      </c>
      <c r="G10" s="116">
        <v>45961</v>
      </c>
      <c r="H10" s="57">
        <v>45961</v>
      </c>
      <c r="I10" s="58">
        <f t="shared" si="0"/>
        <v>-404448.27586206899</v>
      </c>
      <c r="K10" s="57">
        <v>45961</v>
      </c>
      <c r="L10" s="81">
        <f>$F$10</f>
        <v>-404448.27586206899</v>
      </c>
    </row>
    <row r="11" spans="1:12" ht="15.75" thickBot="1" x14ac:dyDescent="0.3">
      <c r="C11" s="18" t="s">
        <v>87</v>
      </c>
      <c r="D11" s="4"/>
      <c r="E11" s="6"/>
      <c r="F11" s="6"/>
      <c r="G11" s="57">
        <v>45991</v>
      </c>
      <c r="H11" s="57">
        <v>45991</v>
      </c>
      <c r="I11" s="58">
        <f t="shared" si="0"/>
        <v>-404448.27586206899</v>
      </c>
      <c r="K11" s="57">
        <v>45991</v>
      </c>
      <c r="L11" s="81">
        <f t="shared" ref="L11:L14" si="2">$F$10</f>
        <v>-404448.27586206899</v>
      </c>
    </row>
    <row r="12" spans="1:12" ht="15.75" thickBot="1" x14ac:dyDescent="0.3">
      <c r="A12" s="16"/>
      <c r="B12" s="122" t="s">
        <v>109</v>
      </c>
      <c r="C12" s="66" t="s">
        <v>18</v>
      </c>
      <c r="D12" s="4">
        <f>F3+F6+F7</f>
        <v>113000000</v>
      </c>
      <c r="F12" s="1"/>
      <c r="G12" s="57">
        <v>46022</v>
      </c>
      <c r="H12" s="57">
        <v>46022</v>
      </c>
      <c r="I12" s="58">
        <f t="shared" si="0"/>
        <v>-404448.27586206899</v>
      </c>
      <c r="K12" s="57">
        <v>46022</v>
      </c>
      <c r="L12" s="81">
        <f t="shared" si="2"/>
        <v>-404448.27586206899</v>
      </c>
    </row>
    <row r="13" spans="1:12" x14ac:dyDescent="0.25">
      <c r="F13" s="55"/>
      <c r="G13" s="57">
        <v>46053</v>
      </c>
      <c r="H13" s="57">
        <v>46053</v>
      </c>
      <c r="I13" s="58">
        <f t="shared" si="0"/>
        <v>-404448.27586206899</v>
      </c>
      <c r="K13" s="57">
        <v>46053</v>
      </c>
      <c r="L13" s="81">
        <f t="shared" si="2"/>
        <v>-404448.27586206899</v>
      </c>
    </row>
    <row r="14" spans="1:12" x14ac:dyDescent="0.25">
      <c r="F14" s="55"/>
      <c r="G14" s="57">
        <v>46081</v>
      </c>
      <c r="H14" s="57">
        <v>46081</v>
      </c>
      <c r="I14" s="58">
        <f>L14</f>
        <v>-404448.27586206899</v>
      </c>
      <c r="K14" s="57">
        <v>46081</v>
      </c>
      <c r="L14" s="81">
        <f t="shared" si="2"/>
        <v>-404448.27586206899</v>
      </c>
    </row>
    <row r="15" spans="1:12" x14ac:dyDescent="0.25">
      <c r="D15" s="6"/>
      <c r="F15" s="55"/>
      <c r="G15" s="57">
        <v>46112</v>
      </c>
      <c r="H15" s="57">
        <v>46112</v>
      </c>
      <c r="I15" s="58">
        <f t="shared" ref="I15:I36" si="3">L15</f>
        <v>0</v>
      </c>
      <c r="K15" s="57">
        <v>46112</v>
      </c>
      <c r="L15" s="61"/>
    </row>
    <row r="16" spans="1:12" x14ac:dyDescent="0.25">
      <c r="D16" s="6"/>
      <c r="F16" s="55"/>
      <c r="G16" s="57">
        <v>46142</v>
      </c>
      <c r="H16" s="57">
        <v>46142</v>
      </c>
      <c r="I16" s="58">
        <f t="shared" si="3"/>
        <v>0</v>
      </c>
      <c r="K16" s="57">
        <v>46142</v>
      </c>
      <c r="L16" s="61"/>
    </row>
    <row r="17" spans="3:12" x14ac:dyDescent="0.25">
      <c r="D17" s="6"/>
      <c r="F17" s="55"/>
      <c r="G17" s="57">
        <v>46173</v>
      </c>
      <c r="H17" s="57">
        <v>46173</v>
      </c>
      <c r="I17" s="58">
        <f t="shared" si="3"/>
        <v>0</v>
      </c>
      <c r="K17" s="57">
        <v>46173</v>
      </c>
      <c r="L17" s="61"/>
    </row>
    <row r="18" spans="3:12" x14ac:dyDescent="0.25">
      <c r="D18" s="6"/>
      <c r="F18" s="55"/>
      <c r="G18" s="57">
        <v>46203</v>
      </c>
      <c r="H18" s="57">
        <v>46203</v>
      </c>
      <c r="I18" s="58">
        <f t="shared" si="3"/>
        <v>0</v>
      </c>
      <c r="K18" s="57">
        <v>46203</v>
      </c>
      <c r="L18" s="61"/>
    </row>
    <row r="19" spans="3:12" x14ac:dyDescent="0.25">
      <c r="D19" s="6"/>
      <c r="F19" s="55"/>
      <c r="G19" s="57">
        <v>46234</v>
      </c>
      <c r="H19" s="57">
        <v>46234</v>
      </c>
      <c r="I19" s="58">
        <f t="shared" si="3"/>
        <v>0</v>
      </c>
      <c r="K19" s="57">
        <v>46234</v>
      </c>
      <c r="L19" s="61"/>
    </row>
    <row r="20" spans="3:12" x14ac:dyDescent="0.25">
      <c r="D20" s="6"/>
      <c r="F20" s="55"/>
      <c r="G20" s="57">
        <v>46265</v>
      </c>
      <c r="H20" s="57">
        <v>46265</v>
      </c>
      <c r="I20" s="58">
        <f t="shared" si="3"/>
        <v>0</v>
      </c>
      <c r="K20" s="57">
        <v>46265</v>
      </c>
      <c r="L20" s="61"/>
    </row>
    <row r="21" spans="3:12" x14ac:dyDescent="0.25">
      <c r="D21" s="6"/>
      <c r="F21" s="55"/>
      <c r="G21" s="57">
        <v>46295</v>
      </c>
      <c r="H21" s="57">
        <v>46295</v>
      </c>
      <c r="I21" s="58">
        <f t="shared" si="3"/>
        <v>0</v>
      </c>
      <c r="K21" s="57">
        <v>46295</v>
      </c>
      <c r="L21" s="61"/>
    </row>
    <row r="22" spans="3:12" x14ac:dyDescent="0.25">
      <c r="C22" s="29"/>
      <c r="F22" s="29"/>
      <c r="G22" s="57">
        <v>46326</v>
      </c>
      <c r="H22" s="57">
        <v>46326</v>
      </c>
      <c r="I22" s="58">
        <f t="shared" si="3"/>
        <v>0</v>
      </c>
      <c r="K22" s="57">
        <v>46326</v>
      </c>
      <c r="L22" s="61"/>
    </row>
    <row r="23" spans="3:12" x14ac:dyDescent="0.25">
      <c r="C23" s="29"/>
      <c r="F23" s="29"/>
      <c r="G23" s="57">
        <v>46356</v>
      </c>
      <c r="H23" s="57">
        <v>46356</v>
      </c>
      <c r="I23" s="58">
        <f t="shared" si="3"/>
        <v>0</v>
      </c>
      <c r="K23" s="57">
        <v>46356</v>
      </c>
      <c r="L23" s="61"/>
    </row>
    <row r="24" spans="3:12" x14ac:dyDescent="0.25">
      <c r="C24" s="29"/>
      <c r="F24" s="29"/>
      <c r="G24" s="57">
        <v>46387</v>
      </c>
      <c r="H24" s="57">
        <v>46387</v>
      </c>
      <c r="I24" s="58">
        <f t="shared" si="3"/>
        <v>0</v>
      </c>
      <c r="K24" s="57">
        <v>46387</v>
      </c>
      <c r="L24" s="61"/>
    </row>
    <row r="25" spans="3:12" x14ac:dyDescent="0.25">
      <c r="C25" s="29"/>
      <c r="F25" s="29"/>
      <c r="G25" s="57">
        <v>46418</v>
      </c>
      <c r="H25" s="57">
        <v>46418</v>
      </c>
      <c r="I25" s="58">
        <f t="shared" si="3"/>
        <v>0</v>
      </c>
      <c r="K25" s="57">
        <v>46418</v>
      </c>
      <c r="L25" s="61"/>
    </row>
    <row r="26" spans="3:12" x14ac:dyDescent="0.25">
      <c r="C26" s="29"/>
      <c r="F26" s="29"/>
      <c r="G26" s="57">
        <v>46446</v>
      </c>
      <c r="H26" s="57">
        <v>46446</v>
      </c>
      <c r="I26" s="58">
        <f t="shared" si="3"/>
        <v>0</v>
      </c>
      <c r="K26" s="57">
        <v>46446</v>
      </c>
      <c r="L26" s="61"/>
    </row>
    <row r="27" spans="3:12" x14ac:dyDescent="0.25">
      <c r="C27" s="29"/>
      <c r="F27" s="29"/>
      <c r="G27" s="57">
        <v>46477</v>
      </c>
      <c r="H27" s="57">
        <v>46477</v>
      </c>
      <c r="I27" s="58">
        <f t="shared" si="3"/>
        <v>0</v>
      </c>
      <c r="K27" s="57">
        <v>46477</v>
      </c>
      <c r="L27" s="61"/>
    </row>
    <row r="28" spans="3:12" x14ac:dyDescent="0.25">
      <c r="C28" s="29"/>
      <c r="D28" s="30"/>
      <c r="E28" s="29"/>
      <c r="F28" s="29"/>
      <c r="G28" s="57">
        <v>46507</v>
      </c>
      <c r="H28" s="57">
        <v>46507</v>
      </c>
      <c r="I28" s="58">
        <f t="shared" si="3"/>
        <v>0</v>
      </c>
      <c r="K28" s="57">
        <v>46507</v>
      </c>
      <c r="L28" s="61"/>
    </row>
    <row r="29" spans="3:12" x14ac:dyDescent="0.25">
      <c r="D29"/>
      <c r="G29" s="57">
        <v>46538</v>
      </c>
      <c r="H29" s="57">
        <v>46538</v>
      </c>
      <c r="I29" s="58">
        <f t="shared" si="3"/>
        <v>0</v>
      </c>
      <c r="K29" s="57">
        <v>46538</v>
      </c>
      <c r="L29" s="61"/>
    </row>
    <row r="30" spans="3:12" x14ac:dyDescent="0.25">
      <c r="G30" s="57">
        <v>46568</v>
      </c>
      <c r="H30" s="57">
        <v>46568</v>
      </c>
      <c r="I30" s="58">
        <f t="shared" si="3"/>
        <v>0</v>
      </c>
      <c r="K30" s="57">
        <v>46568</v>
      </c>
      <c r="L30" s="61"/>
    </row>
    <row r="31" spans="3:12" x14ac:dyDescent="0.25">
      <c r="G31" s="57">
        <v>46599</v>
      </c>
      <c r="H31" s="57">
        <v>46599</v>
      </c>
      <c r="I31" s="58">
        <f t="shared" si="3"/>
        <v>0</v>
      </c>
      <c r="K31" s="57">
        <v>46599</v>
      </c>
      <c r="L31" s="61"/>
    </row>
    <row r="32" spans="3:12" x14ac:dyDescent="0.25">
      <c r="G32" s="57">
        <v>46630</v>
      </c>
      <c r="H32" s="57">
        <v>46630</v>
      </c>
      <c r="I32" s="58">
        <f t="shared" si="3"/>
        <v>0</v>
      </c>
      <c r="K32" s="57">
        <v>46630</v>
      </c>
      <c r="L32" s="61"/>
    </row>
    <row r="33" spans="7:12" x14ac:dyDescent="0.25">
      <c r="G33" s="57">
        <v>46660</v>
      </c>
      <c r="H33" s="57">
        <v>46660</v>
      </c>
      <c r="I33" s="58">
        <f t="shared" si="3"/>
        <v>0</v>
      </c>
      <c r="K33" s="57">
        <v>46660</v>
      </c>
      <c r="L33" s="61"/>
    </row>
    <row r="34" spans="7:12" x14ac:dyDescent="0.25">
      <c r="G34" s="57">
        <v>46691</v>
      </c>
      <c r="H34" s="57">
        <v>46691</v>
      </c>
      <c r="I34" s="58">
        <f t="shared" si="3"/>
        <v>0</v>
      </c>
      <c r="K34" s="57">
        <v>46691</v>
      </c>
      <c r="L34" s="61"/>
    </row>
    <row r="35" spans="7:12" x14ac:dyDescent="0.25">
      <c r="G35" s="57">
        <v>46721</v>
      </c>
      <c r="H35" s="57">
        <v>46721</v>
      </c>
      <c r="I35" s="58">
        <f t="shared" si="3"/>
        <v>0</v>
      </c>
      <c r="K35" s="57">
        <v>46721</v>
      </c>
      <c r="L35" s="61"/>
    </row>
    <row r="36" spans="7:12" x14ac:dyDescent="0.25">
      <c r="G36" s="57">
        <v>46752</v>
      </c>
      <c r="H36" s="57">
        <v>46752</v>
      </c>
      <c r="I36" s="58">
        <f t="shared" si="3"/>
        <v>0</v>
      </c>
      <c r="K36" s="57">
        <v>46752</v>
      </c>
      <c r="L36" s="61"/>
    </row>
    <row r="37" spans="7:12" x14ac:dyDescent="0.25">
      <c r="I37" s="1">
        <f>SUM(I3:I14)</f>
        <v>-117448931.03448275</v>
      </c>
    </row>
    <row r="38" spans="7:12" x14ac:dyDescent="0.25">
      <c r="I38" s="6"/>
    </row>
    <row r="39" spans="7:12" x14ac:dyDescent="0.25">
      <c r="I39" s="6"/>
    </row>
  </sheetData>
  <mergeCells count="1">
    <mergeCell ref="B4:B5"/>
  </mergeCells>
  <phoneticPr fontId="1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2"/>
  <sheetViews>
    <sheetView workbookViewId="0">
      <selection activeCell="J12" sqref="J12"/>
    </sheetView>
  </sheetViews>
  <sheetFormatPr defaultRowHeight="15" x14ac:dyDescent="0.25"/>
  <cols>
    <col min="2" max="2" width="33.140625" customWidth="1"/>
    <col min="3" max="3" width="12.85546875" bestFit="1" customWidth="1"/>
    <col min="4" max="4" width="7.140625" bestFit="1" customWidth="1"/>
    <col min="5" max="5" width="12.42578125" style="1" bestFit="1" customWidth="1"/>
  </cols>
  <sheetData>
    <row r="2" spans="2:5" x14ac:dyDescent="0.25">
      <c r="B2" t="s">
        <v>72</v>
      </c>
    </row>
    <row r="3" spans="2:5" x14ac:dyDescent="0.25">
      <c r="B3" t="s">
        <v>73</v>
      </c>
    </row>
    <row r="4" spans="2:5" x14ac:dyDescent="0.25">
      <c r="B4" t="s">
        <v>74</v>
      </c>
    </row>
    <row r="6" spans="2:5" x14ac:dyDescent="0.25">
      <c r="B6" t="s">
        <v>75</v>
      </c>
    </row>
    <row r="8" spans="2:5" x14ac:dyDescent="0.25">
      <c r="B8" s="3"/>
      <c r="C8" s="3" t="s">
        <v>79</v>
      </c>
      <c r="D8" s="3"/>
      <c r="E8" s="4"/>
    </row>
    <row r="9" spans="2:5" x14ac:dyDescent="0.25">
      <c r="B9" s="3" t="s">
        <v>76</v>
      </c>
      <c r="C9" s="3">
        <v>1</v>
      </c>
      <c r="D9" s="70">
        <v>0</v>
      </c>
      <c r="E9" s="4">
        <f>D9*C9</f>
        <v>0</v>
      </c>
    </row>
    <row r="10" spans="2:5" x14ac:dyDescent="0.25">
      <c r="B10" s="3" t="s">
        <v>78</v>
      </c>
      <c r="C10" s="3">
        <v>250</v>
      </c>
      <c r="D10" s="70">
        <v>0</v>
      </c>
      <c r="E10" s="4">
        <f>D10*C10</f>
        <v>0</v>
      </c>
    </row>
    <row r="11" spans="2:5" ht="15.75" thickBot="1" x14ac:dyDescent="0.3">
      <c r="B11" s="3" t="s">
        <v>77</v>
      </c>
      <c r="C11" s="3">
        <v>1</v>
      </c>
      <c r="D11" s="70">
        <v>0</v>
      </c>
      <c r="E11" s="69">
        <f>D11*C11</f>
        <v>0</v>
      </c>
    </row>
    <row r="12" spans="2:5" ht="60.75" thickBot="1" x14ac:dyDescent="0.3">
      <c r="D12" s="71" t="s">
        <v>80</v>
      </c>
      <c r="E12" s="72">
        <f>SUM(E9:E11)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zoomScale="130" zoomScaleNormal="130" workbookViewId="0">
      <selection activeCell="G13" sqref="G13"/>
    </sheetView>
  </sheetViews>
  <sheetFormatPr defaultRowHeight="15" x14ac:dyDescent="0.25"/>
  <cols>
    <col min="2" max="2" width="20.28515625" customWidth="1"/>
    <col min="3" max="3" width="11.7109375" customWidth="1"/>
    <col min="7" max="7" width="13.7109375" bestFit="1" customWidth="1"/>
    <col min="8" max="8" width="18.85546875" customWidth="1"/>
    <col min="9" max="9" width="12.140625" customWidth="1"/>
    <col min="10" max="10" width="13.5703125" customWidth="1"/>
  </cols>
  <sheetData>
    <row r="1" spans="1:10" x14ac:dyDescent="0.25">
      <c r="A1" s="89" t="s">
        <v>23</v>
      </c>
      <c r="B1" s="89" t="s">
        <v>24</v>
      </c>
      <c r="C1" s="91" t="s">
        <v>25</v>
      </c>
      <c r="D1" s="89" t="s">
        <v>26</v>
      </c>
      <c r="E1" s="89" t="s">
        <v>27</v>
      </c>
      <c r="F1" s="90"/>
      <c r="G1" s="90"/>
      <c r="H1" s="3"/>
      <c r="I1" s="87"/>
      <c r="J1" s="87"/>
    </row>
    <row r="2" spans="1:10" x14ac:dyDescent="0.25">
      <c r="A2" s="90"/>
      <c r="B2" s="90"/>
      <c r="C2" s="90"/>
      <c r="D2" s="90"/>
      <c r="E2" s="49" t="s">
        <v>28</v>
      </c>
      <c r="F2" s="49" t="s">
        <v>29</v>
      </c>
      <c r="G2" s="49" t="s">
        <v>30</v>
      </c>
      <c r="H2" s="49" t="s">
        <v>32</v>
      </c>
      <c r="I2" s="88"/>
      <c r="J2" s="88"/>
    </row>
    <row r="3" spans="1:10" x14ac:dyDescent="0.25">
      <c r="A3" s="3"/>
      <c r="B3" s="3" t="s">
        <v>92</v>
      </c>
      <c r="C3" s="3"/>
      <c r="D3" s="3"/>
      <c r="E3" s="49"/>
      <c r="F3" s="49"/>
      <c r="G3" s="49">
        <v>160000</v>
      </c>
      <c r="H3" s="80">
        <f xml:space="preserve"> G3 / (1 - 0.13) * 1.302</f>
        <v>239448.27586206899</v>
      </c>
    </row>
    <row r="4" spans="1:10" x14ac:dyDescent="0.25">
      <c r="A4" s="50">
        <v>1</v>
      </c>
      <c r="B4" s="50" t="s">
        <v>31</v>
      </c>
      <c r="C4" s="50"/>
      <c r="D4" s="50"/>
      <c r="E4" s="50">
        <v>50000</v>
      </c>
      <c r="F4" s="50"/>
      <c r="G4" s="50"/>
      <c r="H4" s="51">
        <v>0</v>
      </c>
      <c r="I4" s="31"/>
      <c r="J4" s="31"/>
    </row>
    <row r="5" spans="1:10" x14ac:dyDescent="0.25">
      <c r="A5" s="50">
        <v>2</v>
      </c>
      <c r="B5" s="50" t="s">
        <v>31</v>
      </c>
      <c r="C5" s="50"/>
      <c r="D5" s="52"/>
      <c r="E5" s="50">
        <v>60000</v>
      </c>
      <c r="F5" s="50"/>
      <c r="G5" s="50"/>
      <c r="H5" s="51">
        <v>100000</v>
      </c>
      <c r="I5" s="31"/>
      <c r="J5" s="31"/>
    </row>
    <row r="6" spans="1:10" x14ac:dyDescent="0.25">
      <c r="A6" s="50">
        <v>3</v>
      </c>
      <c r="B6" s="50" t="s">
        <v>60</v>
      </c>
      <c r="C6" s="3"/>
      <c r="D6" s="3"/>
      <c r="E6" s="3"/>
      <c r="F6" s="3"/>
      <c r="G6" s="3"/>
      <c r="H6" s="51">
        <v>10000</v>
      </c>
    </row>
    <row r="7" spans="1:10" x14ac:dyDescent="0.25">
      <c r="A7" s="50">
        <v>4</v>
      </c>
      <c r="B7" s="50" t="s">
        <v>61</v>
      </c>
      <c r="C7" s="3"/>
      <c r="D7" s="3"/>
      <c r="E7" s="3"/>
      <c r="F7" s="3"/>
      <c r="G7" s="3"/>
      <c r="H7" s="51">
        <v>10000</v>
      </c>
    </row>
    <row r="8" spans="1:10" x14ac:dyDescent="0.25">
      <c r="A8" s="50">
        <v>5</v>
      </c>
      <c r="B8" s="50" t="s">
        <v>90</v>
      </c>
      <c r="C8" s="3"/>
      <c r="D8" s="3"/>
      <c r="E8" s="3"/>
      <c r="F8" s="3"/>
      <c r="G8" s="3"/>
      <c r="H8" s="51">
        <v>10000</v>
      </c>
    </row>
    <row r="9" spans="1:10" x14ac:dyDescent="0.25">
      <c r="A9" s="50">
        <v>6</v>
      </c>
      <c r="B9" s="50" t="s">
        <v>91</v>
      </c>
      <c r="C9" s="3"/>
      <c r="D9" s="3"/>
      <c r="E9" s="3"/>
      <c r="F9" s="3"/>
      <c r="G9" s="3"/>
      <c r="H9" s="51">
        <v>0</v>
      </c>
    </row>
    <row r="10" spans="1:10" ht="14.45" x14ac:dyDescent="0.35">
      <c r="G10" s="48"/>
      <c r="H10" s="17">
        <f>SUM(H3:H9)</f>
        <v>369448.27586206899</v>
      </c>
    </row>
  </sheetData>
  <mergeCells count="7">
    <mergeCell ref="J1:J2"/>
    <mergeCell ref="A1:A2"/>
    <mergeCell ref="B1:B2"/>
    <mergeCell ref="C1:C2"/>
    <mergeCell ref="D1:D2"/>
    <mergeCell ref="E1:G1"/>
    <mergeCell ref="I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3"/>
  <sheetViews>
    <sheetView topLeftCell="A4" zoomScale="130" zoomScaleNormal="130" workbookViewId="0">
      <selection activeCell="J13" sqref="J13"/>
    </sheetView>
  </sheetViews>
  <sheetFormatPr defaultRowHeight="15" x14ac:dyDescent="0.25"/>
  <cols>
    <col min="8" max="8" width="12.5703125" bestFit="1" customWidth="1"/>
  </cols>
  <sheetData>
    <row r="3" spans="1:13" ht="15.75" x14ac:dyDescent="0.25">
      <c r="A3" s="92" t="s">
        <v>49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</row>
    <row r="4" spans="1:13" ht="14.45" x14ac:dyDescent="0.3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 x14ac:dyDescent="0.25">
      <c r="A5" s="36"/>
      <c r="B5" s="39"/>
      <c r="C5" s="36"/>
      <c r="D5" s="36"/>
      <c r="E5" s="33"/>
      <c r="F5" s="93" t="s">
        <v>34</v>
      </c>
      <c r="G5" s="93"/>
      <c r="H5" s="42">
        <f>24283/15</f>
        <v>1618.8666666666666</v>
      </c>
      <c r="I5" s="37" t="s">
        <v>50</v>
      </c>
      <c r="J5" s="32"/>
      <c r="K5" s="32"/>
      <c r="L5" s="32"/>
      <c r="M5" s="32"/>
    </row>
    <row r="6" spans="1:13" x14ac:dyDescent="0.25">
      <c r="A6" s="36"/>
      <c r="B6" s="39"/>
      <c r="C6" s="35" t="s">
        <v>81</v>
      </c>
      <c r="D6" s="43"/>
      <c r="E6" s="33"/>
      <c r="F6" s="93" t="s">
        <v>51</v>
      </c>
      <c r="G6" s="93"/>
      <c r="H6" s="42">
        <v>35000</v>
      </c>
      <c r="I6" s="37" t="s">
        <v>35</v>
      </c>
      <c r="J6" s="32"/>
      <c r="K6" s="32"/>
      <c r="L6" s="32"/>
      <c r="M6" s="32"/>
    </row>
    <row r="7" spans="1:13" x14ac:dyDescent="0.25">
      <c r="A7" s="36"/>
      <c r="B7" s="39"/>
      <c r="C7" s="39" t="s">
        <v>36</v>
      </c>
      <c r="D7" s="39"/>
      <c r="E7" s="33"/>
      <c r="F7" s="93" t="s">
        <v>52</v>
      </c>
      <c r="G7" s="93"/>
      <c r="H7" s="37">
        <v>6.8228876168512951</v>
      </c>
      <c r="I7" s="37" t="s">
        <v>35</v>
      </c>
      <c r="J7" s="32"/>
      <c r="K7" s="32"/>
      <c r="L7" s="32"/>
      <c r="M7" s="32"/>
    </row>
    <row r="8" spans="1:13" thickBot="1" x14ac:dyDescent="0.4">
      <c r="A8" s="36"/>
      <c r="B8" s="39"/>
      <c r="C8" s="36"/>
      <c r="D8" s="36"/>
      <c r="E8" s="40"/>
      <c r="F8" s="34"/>
      <c r="G8" s="34"/>
      <c r="H8" s="38"/>
      <c r="I8" s="38"/>
      <c r="J8" s="38"/>
      <c r="K8" s="38"/>
      <c r="L8" s="38"/>
      <c r="M8" s="44"/>
    </row>
    <row r="9" spans="1:13" x14ac:dyDescent="0.25">
      <c r="A9" s="96" t="s">
        <v>23</v>
      </c>
      <c r="B9" s="100" t="s">
        <v>26</v>
      </c>
      <c r="C9" s="98" t="s">
        <v>37</v>
      </c>
      <c r="D9" s="100" t="s">
        <v>38</v>
      </c>
      <c r="E9" s="102" t="s">
        <v>39</v>
      </c>
      <c r="F9" s="45" t="s">
        <v>44</v>
      </c>
      <c r="G9" s="45" t="s">
        <v>45</v>
      </c>
      <c r="H9" s="41" t="s">
        <v>53</v>
      </c>
      <c r="I9" s="41" t="s">
        <v>54</v>
      </c>
      <c r="J9" s="41" t="s">
        <v>55</v>
      </c>
      <c r="K9" s="41" t="s">
        <v>56</v>
      </c>
      <c r="L9" s="46" t="s">
        <v>40</v>
      </c>
      <c r="M9" s="94" t="s">
        <v>41</v>
      </c>
    </row>
    <row r="10" spans="1:13" ht="76.5" x14ac:dyDescent="0.25">
      <c r="A10" s="97"/>
      <c r="B10" s="101"/>
      <c r="C10" s="99"/>
      <c r="D10" s="101"/>
      <c r="E10" s="103"/>
      <c r="F10" s="47" t="s">
        <v>46</v>
      </c>
      <c r="G10" s="47" t="s">
        <v>47</v>
      </c>
      <c r="H10" s="47" t="s">
        <v>57</v>
      </c>
      <c r="I10" s="47" t="s">
        <v>58</v>
      </c>
      <c r="J10" s="47" t="s">
        <v>48</v>
      </c>
      <c r="K10" s="47" t="s">
        <v>42</v>
      </c>
      <c r="L10" s="47" t="s">
        <v>43</v>
      </c>
      <c r="M10" s="95"/>
    </row>
    <row r="13" spans="1:13" x14ac:dyDescent="0.25">
      <c r="G13" s="53" t="s">
        <v>59</v>
      </c>
      <c r="H13" s="54">
        <f>SUM(H6)</f>
        <v>35000</v>
      </c>
    </row>
  </sheetData>
  <mergeCells count="10">
    <mergeCell ref="A3:M3"/>
    <mergeCell ref="F5:G5"/>
    <mergeCell ref="F6:G6"/>
    <mergeCell ref="M9:M10"/>
    <mergeCell ref="F7:G7"/>
    <mergeCell ref="A9:A10"/>
    <mergeCell ref="C9:C10"/>
    <mergeCell ref="D9:D10"/>
    <mergeCell ref="B9:B10"/>
    <mergeCell ref="E9:E1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1"/>
  <sheetViews>
    <sheetView tabSelected="1" topLeftCell="B1" zoomScaleNormal="100" workbookViewId="0">
      <selection activeCell="D23" sqref="D23"/>
    </sheetView>
  </sheetViews>
  <sheetFormatPr defaultRowHeight="15" x14ac:dyDescent="0.25"/>
  <cols>
    <col min="2" max="2" width="26.7109375" bestFit="1" customWidth="1"/>
    <col min="3" max="3" width="7.85546875" bestFit="1" customWidth="1"/>
    <col min="4" max="4" width="12.7109375" bestFit="1" customWidth="1"/>
    <col min="5" max="5" width="15.140625" bestFit="1" customWidth="1"/>
    <col min="6" max="6" width="16.85546875" customWidth="1"/>
    <col min="7" max="7" width="12.85546875" bestFit="1" customWidth="1"/>
    <col min="8" max="8" width="15" bestFit="1" customWidth="1"/>
    <col min="9" max="9" width="16" style="29" bestFit="1" customWidth="1"/>
    <col min="10" max="10" width="9.85546875" bestFit="1" customWidth="1"/>
    <col min="12" max="12" width="26.140625" bestFit="1" customWidth="1"/>
    <col min="13" max="13" width="14.7109375" bestFit="1" customWidth="1"/>
  </cols>
  <sheetData>
    <row r="1" spans="1:12" thickBot="1" x14ac:dyDescent="0.4"/>
    <row r="2" spans="1:12" ht="14.45" customHeight="1" x14ac:dyDescent="0.25">
      <c r="A2" s="104" t="s">
        <v>71</v>
      </c>
      <c r="B2" s="65" t="s">
        <v>85</v>
      </c>
      <c r="C2" s="18" t="s">
        <v>64</v>
      </c>
      <c r="D2" s="18" t="s">
        <v>65</v>
      </c>
      <c r="E2" s="18" t="s">
        <v>66</v>
      </c>
      <c r="F2" s="18" t="s">
        <v>67</v>
      </c>
      <c r="G2" s="18" t="s">
        <v>104</v>
      </c>
      <c r="H2" s="18" t="s">
        <v>68</v>
      </c>
      <c r="J2" s="3" t="s">
        <v>17</v>
      </c>
      <c r="K2" s="3" t="s">
        <v>0</v>
      </c>
      <c r="L2" s="3" t="s">
        <v>6</v>
      </c>
    </row>
    <row r="3" spans="1:12" x14ac:dyDescent="0.25">
      <c r="A3" s="105"/>
      <c r="B3" s="66">
        <v>1</v>
      </c>
      <c r="C3" s="3">
        <v>12</v>
      </c>
      <c r="D3" s="3">
        <v>30000</v>
      </c>
      <c r="E3" s="14">
        <f>D3*C3/12</f>
        <v>30000</v>
      </c>
      <c r="F3" s="3">
        <f>E3*12</f>
        <v>360000</v>
      </c>
      <c r="G3" s="3">
        <f>F3/100*6</f>
        <v>21600</v>
      </c>
      <c r="H3" s="3">
        <f>F3+G3</f>
        <v>381600</v>
      </c>
      <c r="J3" s="57">
        <v>45747</v>
      </c>
      <c r="K3" s="3">
        <v>0</v>
      </c>
      <c r="L3" s="14">
        <f t="shared" ref="L3:L8" si="0">$E$21</f>
        <v>802500</v>
      </c>
    </row>
    <row r="4" spans="1:12" x14ac:dyDescent="0.25">
      <c r="A4" s="105"/>
      <c r="B4" s="66">
        <v>1</v>
      </c>
      <c r="C4" s="3">
        <v>12</v>
      </c>
      <c r="D4" s="86">
        <v>30000</v>
      </c>
      <c r="E4" s="14">
        <f t="shared" ref="E4:E20" si="1">D4*C4/12</f>
        <v>30000</v>
      </c>
      <c r="F4" s="3">
        <f t="shared" ref="F4:F20" si="2">E4*12</f>
        <v>360000</v>
      </c>
      <c r="G4" s="3">
        <f t="shared" ref="G4:G20" si="3">F4/100*6</f>
        <v>21600</v>
      </c>
      <c r="H4" s="3">
        <f t="shared" ref="H4:H20" si="4">F4+G4</f>
        <v>381600</v>
      </c>
      <c r="I4" s="62"/>
      <c r="J4" s="57">
        <v>45777</v>
      </c>
      <c r="K4" s="3">
        <v>1</v>
      </c>
      <c r="L4" s="14">
        <f t="shared" si="0"/>
        <v>802500</v>
      </c>
    </row>
    <row r="5" spans="1:12" x14ac:dyDescent="0.25">
      <c r="A5" s="105"/>
      <c r="B5" s="66">
        <v>1</v>
      </c>
      <c r="C5" s="3">
        <v>12</v>
      </c>
      <c r="D5" s="86">
        <v>30000</v>
      </c>
      <c r="E5" s="14">
        <f t="shared" si="1"/>
        <v>30000</v>
      </c>
      <c r="F5" s="3">
        <f t="shared" si="2"/>
        <v>360000</v>
      </c>
      <c r="G5" s="3">
        <f t="shared" si="3"/>
        <v>21600</v>
      </c>
      <c r="H5" s="3">
        <f t="shared" si="4"/>
        <v>381600</v>
      </c>
      <c r="J5" s="57">
        <v>45808</v>
      </c>
      <c r="K5" s="3">
        <v>2</v>
      </c>
      <c r="L5" s="14">
        <f t="shared" si="0"/>
        <v>802500</v>
      </c>
    </row>
    <row r="6" spans="1:12" x14ac:dyDescent="0.25">
      <c r="A6" s="105"/>
      <c r="B6" s="66">
        <v>1</v>
      </c>
      <c r="C6" s="3">
        <v>12</v>
      </c>
      <c r="D6" s="86">
        <v>30000</v>
      </c>
      <c r="E6" s="14">
        <f t="shared" si="1"/>
        <v>30000</v>
      </c>
      <c r="F6" s="3">
        <f t="shared" si="2"/>
        <v>360000</v>
      </c>
      <c r="G6" s="3">
        <f t="shared" si="3"/>
        <v>21600</v>
      </c>
      <c r="H6" s="3">
        <f t="shared" si="4"/>
        <v>381600</v>
      </c>
      <c r="I6" s="62"/>
      <c r="J6" s="57">
        <v>45838</v>
      </c>
      <c r="K6" s="3">
        <v>3</v>
      </c>
      <c r="L6" s="14">
        <f t="shared" si="0"/>
        <v>802500</v>
      </c>
    </row>
    <row r="7" spans="1:12" x14ac:dyDescent="0.25">
      <c r="A7" s="105"/>
      <c r="B7" s="66">
        <v>1</v>
      </c>
      <c r="C7" s="3">
        <v>12</v>
      </c>
      <c r="D7" s="86">
        <v>30000</v>
      </c>
      <c r="E7" s="14">
        <f t="shared" si="1"/>
        <v>30000</v>
      </c>
      <c r="F7" s="3">
        <f t="shared" si="2"/>
        <v>360000</v>
      </c>
      <c r="G7" s="3">
        <f t="shared" si="3"/>
        <v>21600</v>
      </c>
      <c r="H7" s="3">
        <f t="shared" si="4"/>
        <v>381600</v>
      </c>
      <c r="J7" s="57">
        <v>45869</v>
      </c>
      <c r="K7" s="3">
        <v>4</v>
      </c>
      <c r="L7" s="14">
        <f t="shared" si="0"/>
        <v>802500</v>
      </c>
    </row>
    <row r="8" spans="1:12" x14ac:dyDescent="0.25">
      <c r="A8" s="105"/>
      <c r="B8" s="66">
        <v>1</v>
      </c>
      <c r="C8" s="3">
        <v>12</v>
      </c>
      <c r="D8" s="86">
        <v>30000</v>
      </c>
      <c r="E8" s="14">
        <f t="shared" si="1"/>
        <v>30000</v>
      </c>
      <c r="F8" s="3">
        <f t="shared" si="2"/>
        <v>360000</v>
      </c>
      <c r="G8" s="3">
        <f t="shared" si="3"/>
        <v>21600</v>
      </c>
      <c r="H8" s="3">
        <f t="shared" si="4"/>
        <v>381600</v>
      </c>
      <c r="J8" s="57">
        <v>45900</v>
      </c>
      <c r="K8" s="3">
        <v>5</v>
      </c>
      <c r="L8" s="14">
        <f t="shared" si="0"/>
        <v>802500</v>
      </c>
    </row>
    <row r="9" spans="1:12" x14ac:dyDescent="0.25">
      <c r="A9" s="105"/>
      <c r="B9" s="66">
        <v>1</v>
      </c>
      <c r="C9" s="3">
        <v>12</v>
      </c>
      <c r="D9" s="86">
        <v>30000</v>
      </c>
      <c r="E9" s="14">
        <f t="shared" si="1"/>
        <v>30000</v>
      </c>
      <c r="F9" s="3">
        <f t="shared" si="2"/>
        <v>360000</v>
      </c>
      <c r="G9" s="3">
        <f t="shared" si="3"/>
        <v>21600</v>
      </c>
      <c r="H9" s="3">
        <f t="shared" si="4"/>
        <v>381600</v>
      </c>
      <c r="J9" s="57">
        <v>45930</v>
      </c>
      <c r="K9" s="3">
        <v>6</v>
      </c>
      <c r="L9" s="14">
        <f>$E$21</f>
        <v>802500</v>
      </c>
    </row>
    <row r="10" spans="1:12" x14ac:dyDescent="0.25">
      <c r="A10" s="105"/>
      <c r="B10" s="66">
        <v>1</v>
      </c>
      <c r="C10" s="3">
        <v>12</v>
      </c>
      <c r="D10" s="86">
        <v>30000</v>
      </c>
      <c r="E10" s="14">
        <f t="shared" si="1"/>
        <v>30000</v>
      </c>
      <c r="F10" s="3">
        <f t="shared" si="2"/>
        <v>360000</v>
      </c>
      <c r="G10" s="3">
        <f t="shared" si="3"/>
        <v>21600</v>
      </c>
      <c r="H10" s="3">
        <f t="shared" si="4"/>
        <v>381600</v>
      </c>
      <c r="I10" s="63"/>
      <c r="J10" s="57">
        <v>45961</v>
      </c>
      <c r="K10" s="3">
        <v>7</v>
      </c>
      <c r="L10" s="14">
        <f t="shared" ref="L10:L13" si="5">$E$21</f>
        <v>802500</v>
      </c>
    </row>
    <row r="11" spans="1:12" x14ac:dyDescent="0.25">
      <c r="A11" s="105"/>
      <c r="B11" s="66">
        <v>2</v>
      </c>
      <c r="C11" s="3">
        <v>25</v>
      </c>
      <c r="D11" s="86">
        <v>30000</v>
      </c>
      <c r="E11" s="14">
        <f t="shared" si="1"/>
        <v>62500</v>
      </c>
      <c r="F11" s="3">
        <f t="shared" si="2"/>
        <v>750000</v>
      </c>
      <c r="G11" s="3">
        <f t="shared" si="3"/>
        <v>45000</v>
      </c>
      <c r="H11" s="3">
        <f t="shared" si="4"/>
        <v>795000</v>
      </c>
      <c r="J11" s="57">
        <v>45991</v>
      </c>
      <c r="K11" s="3">
        <v>8</v>
      </c>
      <c r="L11" s="14">
        <f t="shared" si="5"/>
        <v>802500</v>
      </c>
    </row>
    <row r="12" spans="1:12" x14ac:dyDescent="0.25">
      <c r="A12" s="105"/>
      <c r="B12" s="66">
        <v>2</v>
      </c>
      <c r="C12" s="3">
        <v>25</v>
      </c>
      <c r="D12" s="86">
        <v>30000</v>
      </c>
      <c r="E12" s="14">
        <f t="shared" si="1"/>
        <v>62500</v>
      </c>
      <c r="F12" s="3">
        <f t="shared" si="2"/>
        <v>750000</v>
      </c>
      <c r="G12" s="3">
        <f t="shared" si="3"/>
        <v>45000</v>
      </c>
      <c r="H12" s="3">
        <f t="shared" si="4"/>
        <v>795000</v>
      </c>
      <c r="J12" s="57">
        <v>46022</v>
      </c>
      <c r="K12" s="3">
        <v>9</v>
      </c>
      <c r="L12" s="14">
        <f t="shared" si="5"/>
        <v>802500</v>
      </c>
    </row>
    <row r="13" spans="1:12" x14ac:dyDescent="0.25">
      <c r="A13" s="105"/>
      <c r="B13" s="66">
        <v>2</v>
      </c>
      <c r="C13" s="3">
        <v>25</v>
      </c>
      <c r="D13" s="86">
        <v>30000</v>
      </c>
      <c r="E13" s="14">
        <f t="shared" si="1"/>
        <v>62500</v>
      </c>
      <c r="F13" s="3">
        <f t="shared" si="2"/>
        <v>750000</v>
      </c>
      <c r="G13" s="3">
        <f t="shared" si="3"/>
        <v>45000</v>
      </c>
      <c r="H13" s="3">
        <f t="shared" si="4"/>
        <v>795000</v>
      </c>
      <c r="J13" s="57">
        <v>46053</v>
      </c>
      <c r="K13" s="3">
        <v>10</v>
      </c>
      <c r="L13" s="14">
        <f t="shared" si="5"/>
        <v>802500</v>
      </c>
    </row>
    <row r="14" spans="1:12" x14ac:dyDescent="0.25">
      <c r="A14" s="105"/>
      <c r="B14" s="66">
        <v>2</v>
      </c>
      <c r="C14" s="3">
        <v>25</v>
      </c>
      <c r="D14" s="86">
        <v>30000</v>
      </c>
      <c r="E14" s="14">
        <f t="shared" si="1"/>
        <v>62500</v>
      </c>
      <c r="F14" s="3">
        <f t="shared" si="2"/>
        <v>750000</v>
      </c>
      <c r="G14" s="3">
        <f t="shared" si="3"/>
        <v>45000</v>
      </c>
      <c r="H14" s="3">
        <f t="shared" si="4"/>
        <v>795000</v>
      </c>
      <c r="I14" s="62"/>
      <c r="J14" s="57">
        <v>46081</v>
      </c>
      <c r="K14" s="3">
        <v>11</v>
      </c>
      <c r="L14" s="14">
        <f>E23</f>
        <v>155700000</v>
      </c>
    </row>
    <row r="15" spans="1:12" x14ac:dyDescent="0.25">
      <c r="A15" s="105"/>
      <c r="B15" s="66">
        <v>2</v>
      </c>
      <c r="C15" s="3">
        <v>25</v>
      </c>
      <c r="D15" s="86">
        <v>30000</v>
      </c>
      <c r="E15" s="14">
        <f t="shared" si="1"/>
        <v>62500</v>
      </c>
      <c r="F15" s="3">
        <f t="shared" si="2"/>
        <v>750000</v>
      </c>
      <c r="G15" s="3">
        <f t="shared" si="3"/>
        <v>45000</v>
      </c>
      <c r="H15" s="3">
        <f t="shared" si="4"/>
        <v>795000</v>
      </c>
      <c r="J15" s="57">
        <v>46112</v>
      </c>
      <c r="K15" s="3">
        <v>12</v>
      </c>
      <c r="L15" s="14">
        <v>0</v>
      </c>
    </row>
    <row r="16" spans="1:12" x14ac:dyDescent="0.25">
      <c r="A16" s="105"/>
      <c r="B16" s="66">
        <v>2</v>
      </c>
      <c r="C16" s="3">
        <v>25</v>
      </c>
      <c r="D16" s="86">
        <v>30000</v>
      </c>
      <c r="E16" s="14">
        <f t="shared" si="1"/>
        <v>62500</v>
      </c>
      <c r="F16" s="3">
        <f t="shared" si="2"/>
        <v>750000</v>
      </c>
      <c r="G16" s="3">
        <f t="shared" si="3"/>
        <v>45000</v>
      </c>
      <c r="H16" s="3">
        <f t="shared" si="4"/>
        <v>795000</v>
      </c>
      <c r="J16" s="57">
        <v>46142</v>
      </c>
      <c r="K16" s="3">
        <v>13</v>
      </c>
      <c r="L16" s="14">
        <v>0</v>
      </c>
    </row>
    <row r="17" spans="1:13" x14ac:dyDescent="0.25">
      <c r="A17" s="105"/>
      <c r="B17" s="66">
        <v>2</v>
      </c>
      <c r="C17" s="3">
        <v>25</v>
      </c>
      <c r="D17" s="86">
        <v>30000</v>
      </c>
      <c r="E17" s="14">
        <f t="shared" si="1"/>
        <v>62500</v>
      </c>
      <c r="F17" s="3">
        <f t="shared" si="2"/>
        <v>750000</v>
      </c>
      <c r="G17" s="3">
        <f t="shared" si="3"/>
        <v>45000</v>
      </c>
      <c r="H17" s="3">
        <f t="shared" si="4"/>
        <v>795000</v>
      </c>
      <c r="I17" s="55"/>
      <c r="J17" s="57">
        <v>46173</v>
      </c>
      <c r="K17" s="3">
        <v>14</v>
      </c>
      <c r="L17" s="14">
        <v>0</v>
      </c>
    </row>
    <row r="18" spans="1:13" x14ac:dyDescent="0.25">
      <c r="A18" s="105"/>
      <c r="B18" s="66">
        <v>2</v>
      </c>
      <c r="C18" s="3">
        <v>25</v>
      </c>
      <c r="D18" s="86">
        <v>30000</v>
      </c>
      <c r="E18" s="14">
        <f t="shared" si="1"/>
        <v>62500</v>
      </c>
      <c r="F18" s="3">
        <f t="shared" si="2"/>
        <v>750000</v>
      </c>
      <c r="G18" s="3">
        <f t="shared" si="3"/>
        <v>45000</v>
      </c>
      <c r="H18" s="3">
        <f t="shared" si="4"/>
        <v>795000</v>
      </c>
      <c r="I18" s="55"/>
      <c r="J18" s="57">
        <v>46203</v>
      </c>
      <c r="K18" s="3">
        <v>15</v>
      </c>
      <c r="L18" s="14">
        <v>0</v>
      </c>
    </row>
    <row r="19" spans="1:13" x14ac:dyDescent="0.25">
      <c r="A19" s="105"/>
      <c r="B19" s="66">
        <v>2</v>
      </c>
      <c r="C19" s="3">
        <v>25</v>
      </c>
      <c r="D19" s="86">
        <v>30000</v>
      </c>
      <c r="E19" s="14">
        <f t="shared" si="1"/>
        <v>62500</v>
      </c>
      <c r="F19" s="3">
        <f t="shared" si="2"/>
        <v>750000</v>
      </c>
      <c r="G19" s="3">
        <f t="shared" si="3"/>
        <v>45000</v>
      </c>
      <c r="H19" s="3">
        <f t="shared" si="4"/>
        <v>795000</v>
      </c>
      <c r="I19" s="55"/>
      <c r="J19" s="57">
        <v>46234</v>
      </c>
      <c r="K19" s="3">
        <v>16</v>
      </c>
      <c r="L19" s="14">
        <v>0</v>
      </c>
    </row>
    <row r="20" spans="1:13" ht="15.75" thickBot="1" x14ac:dyDescent="0.3">
      <c r="A20" s="106"/>
      <c r="B20" s="66">
        <v>2</v>
      </c>
      <c r="C20" s="3">
        <v>25</v>
      </c>
      <c r="D20" s="3">
        <v>0</v>
      </c>
      <c r="E20" s="14">
        <f t="shared" si="1"/>
        <v>0</v>
      </c>
      <c r="F20" s="114">
        <f t="shared" si="2"/>
        <v>0</v>
      </c>
      <c r="G20" s="3">
        <f t="shared" si="3"/>
        <v>0</v>
      </c>
      <c r="H20" s="3">
        <f t="shared" si="4"/>
        <v>0</v>
      </c>
      <c r="I20" s="55"/>
      <c r="J20" s="57">
        <v>46265</v>
      </c>
      <c r="K20" s="3">
        <v>17</v>
      </c>
      <c r="L20" s="14">
        <v>0</v>
      </c>
      <c r="M20" s="6"/>
    </row>
    <row r="21" spans="1:13" ht="15.75" thickBot="1" x14ac:dyDescent="0.3">
      <c r="B21" s="85" t="s">
        <v>105</v>
      </c>
      <c r="C21">
        <f>SUM(C3:C20)</f>
        <v>346</v>
      </c>
      <c r="E21" s="6">
        <f>SUM(E3:E20)</f>
        <v>802500</v>
      </c>
      <c r="F21" s="115">
        <f>SUM(F3:F20)</f>
        <v>9630000</v>
      </c>
      <c r="G21" s="76">
        <f>F21/100*6</f>
        <v>577800</v>
      </c>
      <c r="H21" s="77">
        <f>F21+G21</f>
        <v>10207800</v>
      </c>
      <c r="I21" s="55"/>
      <c r="J21" s="57">
        <v>46295</v>
      </c>
      <c r="K21" s="3">
        <v>18</v>
      </c>
      <c r="L21" s="14">
        <v>0</v>
      </c>
    </row>
    <row r="22" spans="1:13" x14ac:dyDescent="0.25">
      <c r="A22" s="104" t="s">
        <v>69</v>
      </c>
      <c r="B22" t="s">
        <v>69</v>
      </c>
      <c r="J22" s="57">
        <v>46326</v>
      </c>
      <c r="K22" s="3">
        <v>19</v>
      </c>
      <c r="L22" s="14">
        <v>0</v>
      </c>
    </row>
    <row r="23" spans="1:13" x14ac:dyDescent="0.25">
      <c r="A23" s="105"/>
      <c r="B23" t="s">
        <v>70</v>
      </c>
      <c r="C23">
        <f>C21</f>
        <v>346</v>
      </c>
      <c r="D23">
        <v>450000</v>
      </c>
      <c r="E23" s="6">
        <f>D23*C23</f>
        <v>155700000</v>
      </c>
      <c r="J23" s="57">
        <v>46356</v>
      </c>
      <c r="K23" s="3">
        <v>20</v>
      </c>
      <c r="L23" s="14">
        <v>0</v>
      </c>
    </row>
    <row r="24" spans="1:13" x14ac:dyDescent="0.25">
      <c r="A24" s="105"/>
      <c r="D24" s="2"/>
      <c r="J24" s="57">
        <v>46387</v>
      </c>
      <c r="K24" s="3">
        <v>21</v>
      </c>
      <c r="L24" s="14">
        <v>0</v>
      </c>
    </row>
    <row r="25" spans="1:13" x14ac:dyDescent="0.25">
      <c r="A25" s="105"/>
      <c r="J25" s="57">
        <v>46418</v>
      </c>
      <c r="K25" s="3">
        <v>22</v>
      </c>
      <c r="L25" s="14">
        <v>0</v>
      </c>
    </row>
    <row r="26" spans="1:13" x14ac:dyDescent="0.25">
      <c r="A26" s="105"/>
      <c r="J26" s="57">
        <v>46446</v>
      </c>
      <c r="K26" s="3">
        <v>23</v>
      </c>
      <c r="L26" s="14">
        <v>0</v>
      </c>
    </row>
    <row r="27" spans="1:13" ht="15.75" thickBot="1" x14ac:dyDescent="0.3">
      <c r="A27" s="106"/>
      <c r="J27" s="57">
        <v>46477</v>
      </c>
      <c r="K27" s="3">
        <v>24</v>
      </c>
      <c r="L27" s="6"/>
    </row>
    <row r="28" spans="1:13" ht="14.45" x14ac:dyDescent="0.35">
      <c r="J28" s="57">
        <v>46507</v>
      </c>
      <c r="K28" s="3">
        <v>25</v>
      </c>
      <c r="L28" s="6"/>
    </row>
    <row r="29" spans="1:13" ht="14.45" x14ac:dyDescent="0.35">
      <c r="J29" s="57">
        <v>46538</v>
      </c>
      <c r="K29" s="3">
        <v>26</v>
      </c>
      <c r="L29" s="6"/>
    </row>
    <row r="30" spans="1:13" ht="14.45" x14ac:dyDescent="0.35">
      <c r="J30" s="57">
        <v>46568</v>
      </c>
      <c r="K30" s="3">
        <v>27</v>
      </c>
      <c r="L30" s="6"/>
    </row>
    <row r="31" spans="1:13" ht="14.45" x14ac:dyDescent="0.35">
      <c r="J31" s="57">
        <v>46599</v>
      </c>
      <c r="K31" s="3">
        <v>28</v>
      </c>
      <c r="L31" s="6"/>
    </row>
    <row r="32" spans="1:13" ht="14.45" x14ac:dyDescent="0.35">
      <c r="J32" s="57">
        <v>46630</v>
      </c>
      <c r="K32" s="3">
        <v>29</v>
      </c>
      <c r="L32" s="6"/>
    </row>
    <row r="33" spans="10:12" ht="14.45" x14ac:dyDescent="0.35">
      <c r="J33" s="57">
        <v>46660</v>
      </c>
      <c r="K33" s="3">
        <v>30</v>
      </c>
      <c r="L33" s="6"/>
    </row>
    <row r="34" spans="10:12" ht="14.45" x14ac:dyDescent="0.35">
      <c r="J34" s="57">
        <v>46691</v>
      </c>
      <c r="K34" s="3">
        <v>31</v>
      </c>
      <c r="L34" s="6"/>
    </row>
    <row r="35" spans="10:12" ht="14.45" x14ac:dyDescent="0.35">
      <c r="J35" s="57">
        <v>46721</v>
      </c>
      <c r="K35" s="3">
        <v>32</v>
      </c>
      <c r="L35" s="6"/>
    </row>
    <row r="36" spans="10:12" ht="14.45" x14ac:dyDescent="0.35">
      <c r="J36" s="57">
        <v>46752</v>
      </c>
      <c r="K36" s="3">
        <v>33</v>
      </c>
      <c r="L36" s="6"/>
    </row>
    <row r="37" spans="10:12" ht="14.45" x14ac:dyDescent="0.35">
      <c r="J37" s="57">
        <v>46783</v>
      </c>
      <c r="K37" s="3">
        <v>34</v>
      </c>
      <c r="L37" s="6"/>
    </row>
    <row r="38" spans="10:12" ht="14.45" x14ac:dyDescent="0.35">
      <c r="J38" s="57">
        <v>46812</v>
      </c>
      <c r="K38" s="3">
        <v>35</v>
      </c>
      <c r="L38" s="6"/>
    </row>
    <row r="39" spans="10:12" ht="14.45" x14ac:dyDescent="0.35">
      <c r="J39" s="57">
        <v>46843</v>
      </c>
      <c r="K39" s="3">
        <v>36</v>
      </c>
      <c r="L39" s="6"/>
    </row>
    <row r="40" spans="10:12" ht="14.45" x14ac:dyDescent="0.35">
      <c r="J40" s="57">
        <v>46873</v>
      </c>
      <c r="K40" s="3">
        <v>37</v>
      </c>
      <c r="L40" s="6"/>
    </row>
    <row r="41" spans="10:12" ht="14.45" x14ac:dyDescent="0.35">
      <c r="J41" s="57">
        <v>46904</v>
      </c>
      <c r="K41" s="3">
        <v>38</v>
      </c>
      <c r="L41" s="6"/>
    </row>
    <row r="42" spans="10:12" ht="14.45" x14ac:dyDescent="0.35">
      <c r="J42" s="57">
        <v>46934</v>
      </c>
      <c r="K42" s="3">
        <v>39</v>
      </c>
      <c r="L42" s="6"/>
    </row>
    <row r="43" spans="10:12" ht="14.45" x14ac:dyDescent="0.35">
      <c r="J43" s="57">
        <v>46965</v>
      </c>
      <c r="K43" s="3">
        <v>40</v>
      </c>
      <c r="L43" s="6"/>
    </row>
    <row r="44" spans="10:12" ht="14.45" x14ac:dyDescent="0.35">
      <c r="J44" s="57">
        <v>46996</v>
      </c>
      <c r="K44" s="3">
        <v>41</v>
      </c>
      <c r="L44" s="6"/>
    </row>
    <row r="45" spans="10:12" ht="14.45" x14ac:dyDescent="0.35">
      <c r="J45" s="57">
        <v>47026</v>
      </c>
      <c r="K45" s="3">
        <v>42</v>
      </c>
      <c r="L45" s="6"/>
    </row>
    <row r="46" spans="10:12" ht="14.45" x14ac:dyDescent="0.35">
      <c r="J46" s="57">
        <v>47057</v>
      </c>
      <c r="K46" s="3">
        <v>43</v>
      </c>
      <c r="L46" s="6"/>
    </row>
    <row r="47" spans="10:12" ht="14.45" x14ac:dyDescent="0.35">
      <c r="J47" s="57">
        <v>47087</v>
      </c>
      <c r="K47" s="3">
        <v>44</v>
      </c>
      <c r="L47" s="6"/>
    </row>
    <row r="48" spans="10:12" ht="14.45" x14ac:dyDescent="0.35">
      <c r="J48" s="57">
        <v>47118</v>
      </c>
      <c r="K48" s="3">
        <v>45</v>
      </c>
      <c r="L48" s="6"/>
    </row>
    <row r="49" spans="10:12" ht="14.45" x14ac:dyDescent="0.35">
      <c r="J49" s="57">
        <v>47149</v>
      </c>
      <c r="K49" s="3">
        <v>46</v>
      </c>
      <c r="L49" s="6"/>
    </row>
    <row r="50" spans="10:12" ht="14.45" x14ac:dyDescent="0.35">
      <c r="J50" s="57">
        <v>47177</v>
      </c>
      <c r="K50" s="3">
        <v>47</v>
      </c>
      <c r="L50" s="6"/>
    </row>
    <row r="51" spans="10:12" ht="14.45" x14ac:dyDescent="0.35">
      <c r="J51" s="57">
        <v>47208</v>
      </c>
      <c r="K51" s="3">
        <v>48</v>
      </c>
      <c r="L51" s="6"/>
    </row>
    <row r="52" spans="10:12" ht="14.45" x14ac:dyDescent="0.35">
      <c r="J52" s="57">
        <v>47238</v>
      </c>
      <c r="K52" s="3">
        <v>49</v>
      </c>
      <c r="L52" s="6"/>
    </row>
    <row r="53" spans="10:12" ht="14.45" x14ac:dyDescent="0.35">
      <c r="J53" s="57">
        <v>47269</v>
      </c>
      <c r="K53" s="3">
        <v>50</v>
      </c>
      <c r="L53" s="6"/>
    </row>
    <row r="54" spans="10:12" ht="14.45" x14ac:dyDescent="0.35">
      <c r="J54" s="57">
        <v>47299</v>
      </c>
      <c r="K54" s="3">
        <v>51</v>
      </c>
      <c r="L54" s="6"/>
    </row>
    <row r="55" spans="10:12" ht="14.45" x14ac:dyDescent="0.35">
      <c r="J55" s="57">
        <v>47330</v>
      </c>
      <c r="K55" s="3">
        <v>52</v>
      </c>
      <c r="L55" s="6"/>
    </row>
    <row r="56" spans="10:12" ht="14.45" x14ac:dyDescent="0.35">
      <c r="J56" s="57">
        <v>47361</v>
      </c>
      <c r="K56" s="3">
        <v>53</v>
      </c>
      <c r="L56" s="6"/>
    </row>
    <row r="57" spans="10:12" ht="14.45" x14ac:dyDescent="0.35">
      <c r="J57" s="57">
        <v>47391</v>
      </c>
      <c r="K57" s="3">
        <v>54</v>
      </c>
      <c r="L57" s="6"/>
    </row>
    <row r="58" spans="10:12" ht="14.45" x14ac:dyDescent="0.35">
      <c r="J58" s="57">
        <v>47422</v>
      </c>
      <c r="K58" s="3">
        <v>55</v>
      </c>
      <c r="L58" s="6"/>
    </row>
    <row r="59" spans="10:12" ht="14.45" x14ac:dyDescent="0.35">
      <c r="J59" s="57">
        <v>47452</v>
      </c>
      <c r="K59" s="3">
        <v>56</v>
      </c>
      <c r="L59" s="6"/>
    </row>
    <row r="60" spans="10:12" ht="14.45" x14ac:dyDescent="0.35">
      <c r="J60" s="57">
        <v>47483</v>
      </c>
      <c r="K60" s="3">
        <v>57</v>
      </c>
      <c r="L60" s="6"/>
    </row>
    <row r="61" spans="10:12" ht="14.45" x14ac:dyDescent="0.35">
      <c r="J61" s="57">
        <v>47514</v>
      </c>
      <c r="K61" s="3">
        <v>58</v>
      </c>
      <c r="L61" s="6"/>
    </row>
    <row r="62" spans="10:12" ht="14.45" x14ac:dyDescent="0.35">
      <c r="J62" s="57">
        <v>47542</v>
      </c>
      <c r="K62" s="3">
        <v>59</v>
      </c>
      <c r="L62" s="6"/>
    </row>
    <row r="63" spans="10:12" ht="14.45" x14ac:dyDescent="0.35">
      <c r="J63" s="57">
        <v>47573</v>
      </c>
      <c r="K63" s="3">
        <v>60</v>
      </c>
      <c r="L63" s="6"/>
    </row>
    <row r="64" spans="10:12" ht="14.45" x14ac:dyDescent="0.35">
      <c r="J64" s="57">
        <v>47603</v>
      </c>
      <c r="K64" s="3">
        <v>61</v>
      </c>
      <c r="L64" s="6"/>
    </row>
    <row r="65" spans="10:12" ht="14.45" x14ac:dyDescent="0.35">
      <c r="J65" s="57">
        <v>47634</v>
      </c>
      <c r="K65" s="3">
        <v>62</v>
      </c>
      <c r="L65" s="6"/>
    </row>
    <row r="66" spans="10:12" ht="14.45" x14ac:dyDescent="0.35">
      <c r="J66" s="57">
        <v>47664</v>
      </c>
      <c r="K66" s="3">
        <v>63</v>
      </c>
      <c r="L66" s="6"/>
    </row>
    <row r="67" spans="10:12" ht="14.45" x14ac:dyDescent="0.35">
      <c r="J67" s="57">
        <v>47695</v>
      </c>
      <c r="K67" s="3">
        <v>64</v>
      </c>
      <c r="L67" s="6"/>
    </row>
    <row r="68" spans="10:12" ht="14.45" x14ac:dyDescent="0.35">
      <c r="J68" s="57">
        <v>47726</v>
      </c>
      <c r="K68" s="3">
        <v>65</v>
      </c>
      <c r="L68" s="6"/>
    </row>
    <row r="69" spans="10:12" ht="14.45" x14ac:dyDescent="0.35">
      <c r="J69" s="57">
        <v>47756</v>
      </c>
      <c r="K69" s="3">
        <v>66</v>
      </c>
      <c r="L69" s="6"/>
    </row>
    <row r="70" spans="10:12" ht="14.45" x14ac:dyDescent="0.35">
      <c r="J70" s="57">
        <v>47787</v>
      </c>
      <c r="K70" s="3">
        <v>67</v>
      </c>
      <c r="L70" s="6"/>
    </row>
    <row r="71" spans="10:12" ht="14.45" x14ac:dyDescent="0.35">
      <c r="J71" s="57">
        <v>47817</v>
      </c>
      <c r="K71" s="3">
        <v>68</v>
      </c>
      <c r="L71" s="6"/>
    </row>
    <row r="72" spans="10:12" ht="14.45" x14ac:dyDescent="0.35">
      <c r="J72" s="57">
        <v>47848</v>
      </c>
      <c r="K72" s="3">
        <v>69</v>
      </c>
      <c r="L72" s="6"/>
    </row>
    <row r="73" spans="10:12" ht="14.45" x14ac:dyDescent="0.35">
      <c r="J73" s="57">
        <v>47879</v>
      </c>
      <c r="K73" s="3">
        <v>70</v>
      </c>
      <c r="L73" s="6"/>
    </row>
    <row r="74" spans="10:12" ht="14.45" x14ac:dyDescent="0.35">
      <c r="J74" s="57">
        <v>47907</v>
      </c>
      <c r="K74" s="3">
        <v>71</v>
      </c>
      <c r="L74" s="6"/>
    </row>
    <row r="75" spans="10:12" ht="14.45" x14ac:dyDescent="0.35">
      <c r="J75" s="57">
        <v>47938</v>
      </c>
      <c r="K75" s="3">
        <v>72</v>
      </c>
      <c r="L75" s="6"/>
    </row>
    <row r="76" spans="10:12" ht="14.45" x14ac:dyDescent="0.35">
      <c r="J76" s="57">
        <v>47968</v>
      </c>
      <c r="K76" s="3">
        <v>73</v>
      </c>
      <c r="L76" s="6"/>
    </row>
    <row r="77" spans="10:12" ht="14.45" x14ac:dyDescent="0.35">
      <c r="J77" s="57">
        <v>47999</v>
      </c>
      <c r="K77" s="3">
        <v>74</v>
      </c>
      <c r="L77" s="6"/>
    </row>
    <row r="78" spans="10:12" ht="14.45" x14ac:dyDescent="0.35">
      <c r="J78" s="57">
        <v>48029</v>
      </c>
      <c r="K78" s="3">
        <v>75</v>
      </c>
      <c r="L78" s="6"/>
    </row>
    <row r="79" spans="10:12" ht="14.45" x14ac:dyDescent="0.35">
      <c r="J79" s="57">
        <v>48060</v>
      </c>
      <c r="K79" s="3">
        <v>76</v>
      </c>
      <c r="L79" s="6"/>
    </row>
    <row r="80" spans="10:12" ht="14.45" x14ac:dyDescent="0.35">
      <c r="J80" s="57">
        <v>48091</v>
      </c>
      <c r="K80" s="3">
        <v>77</v>
      </c>
      <c r="L80" s="6"/>
    </row>
    <row r="81" spans="10:12" ht="14.45" x14ac:dyDescent="0.35">
      <c r="J81" s="57">
        <v>48121</v>
      </c>
      <c r="K81" s="3">
        <v>78</v>
      </c>
      <c r="L81" s="6"/>
    </row>
    <row r="82" spans="10:12" ht="14.45" x14ac:dyDescent="0.35">
      <c r="J82" s="57">
        <v>48152</v>
      </c>
      <c r="K82" s="3">
        <v>79</v>
      </c>
      <c r="L82" s="6"/>
    </row>
    <row r="83" spans="10:12" ht="14.45" x14ac:dyDescent="0.35">
      <c r="J83" s="57">
        <v>48182</v>
      </c>
      <c r="K83" s="3">
        <v>80</v>
      </c>
      <c r="L83" s="6"/>
    </row>
    <row r="84" spans="10:12" ht="14.45" x14ac:dyDescent="0.35">
      <c r="J84" s="57">
        <v>48213</v>
      </c>
      <c r="K84" s="3">
        <v>81</v>
      </c>
      <c r="L84" s="6"/>
    </row>
    <row r="85" spans="10:12" ht="14.45" x14ac:dyDescent="0.35">
      <c r="J85" s="57">
        <v>48244</v>
      </c>
      <c r="K85" s="3">
        <v>82</v>
      </c>
      <c r="L85" s="6"/>
    </row>
    <row r="86" spans="10:12" ht="14.45" x14ac:dyDescent="0.35">
      <c r="J86" s="57">
        <v>48273</v>
      </c>
      <c r="K86" s="3">
        <v>83</v>
      </c>
      <c r="L86" s="6"/>
    </row>
    <row r="87" spans="10:12" ht="14.45" x14ac:dyDescent="0.35">
      <c r="J87" s="57">
        <v>48304</v>
      </c>
      <c r="K87" s="3">
        <v>84</v>
      </c>
      <c r="L87" s="6"/>
    </row>
    <row r="88" spans="10:12" ht="14.45" x14ac:dyDescent="0.35">
      <c r="J88" s="57">
        <v>48334</v>
      </c>
      <c r="K88" s="3">
        <v>85</v>
      </c>
      <c r="L88" s="6"/>
    </row>
    <row r="89" spans="10:12" ht="14.45" x14ac:dyDescent="0.35">
      <c r="J89" s="57">
        <v>48365</v>
      </c>
      <c r="K89" s="3">
        <v>86</v>
      </c>
      <c r="L89" s="6"/>
    </row>
    <row r="90" spans="10:12" ht="14.45" x14ac:dyDescent="0.35">
      <c r="J90" s="57">
        <v>48395</v>
      </c>
      <c r="K90" s="3">
        <v>87</v>
      </c>
      <c r="L90" s="6"/>
    </row>
    <row r="91" spans="10:12" ht="14.45" x14ac:dyDescent="0.35">
      <c r="J91" s="57">
        <v>48426</v>
      </c>
      <c r="K91" s="3">
        <v>88</v>
      </c>
      <c r="L91" s="6"/>
    </row>
    <row r="92" spans="10:12" ht="14.45" x14ac:dyDescent="0.35">
      <c r="J92" s="57">
        <v>48457</v>
      </c>
      <c r="K92" s="3">
        <v>89</v>
      </c>
      <c r="L92" s="6"/>
    </row>
    <row r="93" spans="10:12" ht="14.45" x14ac:dyDescent="0.35">
      <c r="J93" s="57">
        <v>48487</v>
      </c>
      <c r="K93" s="3">
        <v>90</v>
      </c>
      <c r="L93" s="6"/>
    </row>
    <row r="94" spans="10:12" ht="14.45" x14ac:dyDescent="0.35">
      <c r="J94" s="57">
        <v>48518</v>
      </c>
      <c r="K94" s="3">
        <v>91</v>
      </c>
      <c r="L94" s="6"/>
    </row>
    <row r="95" spans="10:12" ht="14.45" x14ac:dyDescent="0.35">
      <c r="J95" s="57">
        <v>48548</v>
      </c>
      <c r="K95" s="3">
        <v>92</v>
      </c>
      <c r="L95" s="6"/>
    </row>
    <row r="96" spans="10:12" ht="14.45" x14ac:dyDescent="0.35">
      <c r="J96" s="57">
        <v>48579</v>
      </c>
      <c r="K96" s="3">
        <v>93</v>
      </c>
      <c r="L96" s="6"/>
    </row>
    <row r="97" spans="10:12" ht="14.45" x14ac:dyDescent="0.35">
      <c r="J97" s="57">
        <v>48610</v>
      </c>
      <c r="K97" s="3">
        <v>94</v>
      </c>
      <c r="L97" s="6"/>
    </row>
    <row r="98" spans="10:12" ht="14.45" x14ac:dyDescent="0.35">
      <c r="J98" s="57">
        <v>48638</v>
      </c>
      <c r="K98" s="3">
        <v>95</v>
      </c>
      <c r="L98" s="6"/>
    </row>
    <row r="99" spans="10:12" ht="14.45" x14ac:dyDescent="0.35">
      <c r="J99" s="57">
        <v>48669</v>
      </c>
      <c r="K99" s="3">
        <v>96</v>
      </c>
      <c r="L99" s="6"/>
    </row>
    <row r="100" spans="10:12" ht="14.45" x14ac:dyDescent="0.35">
      <c r="J100" s="57">
        <v>48699</v>
      </c>
      <c r="K100" s="3">
        <v>97</v>
      </c>
      <c r="L100" s="6"/>
    </row>
    <row r="101" spans="10:12" ht="14.45" x14ac:dyDescent="0.35">
      <c r="J101" s="57">
        <v>48730</v>
      </c>
      <c r="K101" s="3">
        <v>98</v>
      </c>
      <c r="L101" s="6"/>
    </row>
    <row r="102" spans="10:12" ht="14.45" x14ac:dyDescent="0.35">
      <c r="J102" s="57">
        <v>48760</v>
      </c>
      <c r="K102" s="3">
        <v>99</v>
      </c>
      <c r="L102" s="6"/>
    </row>
    <row r="103" spans="10:12" ht="14.45" x14ac:dyDescent="0.35">
      <c r="J103" s="57">
        <v>48791</v>
      </c>
      <c r="K103" s="3">
        <v>100</v>
      </c>
      <c r="L103" s="6"/>
    </row>
    <row r="104" spans="10:12" ht="14.45" x14ac:dyDescent="0.35">
      <c r="J104" s="57">
        <v>48822</v>
      </c>
      <c r="K104" s="3">
        <v>101</v>
      </c>
      <c r="L104" s="6"/>
    </row>
    <row r="105" spans="10:12" ht="14.45" x14ac:dyDescent="0.35">
      <c r="J105" s="57">
        <v>48852</v>
      </c>
      <c r="K105" s="3">
        <v>102</v>
      </c>
      <c r="L105" s="6"/>
    </row>
    <row r="106" spans="10:12" ht="14.45" x14ac:dyDescent="0.35">
      <c r="J106" s="57">
        <v>48883</v>
      </c>
      <c r="K106" s="3">
        <v>103</v>
      </c>
      <c r="L106" s="6"/>
    </row>
    <row r="107" spans="10:12" ht="14.45" x14ac:dyDescent="0.35">
      <c r="J107" s="57">
        <v>48913</v>
      </c>
      <c r="K107" s="3">
        <v>104</v>
      </c>
      <c r="L107" s="6"/>
    </row>
    <row r="108" spans="10:12" ht="14.45" x14ac:dyDescent="0.35">
      <c r="J108" s="57">
        <v>48944</v>
      </c>
      <c r="K108" s="3">
        <v>105</v>
      </c>
      <c r="L108" s="6"/>
    </row>
    <row r="109" spans="10:12" ht="14.45" x14ac:dyDescent="0.35">
      <c r="J109" s="57">
        <v>48975</v>
      </c>
      <c r="K109" s="3">
        <v>106</v>
      </c>
      <c r="L109" s="6"/>
    </row>
    <row r="110" spans="10:12" ht="14.45" x14ac:dyDescent="0.35">
      <c r="J110" s="57">
        <v>49003</v>
      </c>
      <c r="K110" s="3">
        <v>107</v>
      </c>
      <c r="L110" s="6"/>
    </row>
    <row r="111" spans="10:12" ht="14.45" x14ac:dyDescent="0.35">
      <c r="J111" s="57">
        <v>49034</v>
      </c>
      <c r="K111" s="3">
        <v>108</v>
      </c>
      <c r="L111" s="6"/>
    </row>
    <row r="112" spans="10:12" ht="14.45" x14ac:dyDescent="0.35">
      <c r="J112" s="57">
        <v>49064</v>
      </c>
      <c r="K112" s="3">
        <v>109</v>
      </c>
      <c r="L112" s="6"/>
    </row>
    <row r="113" spans="10:12" ht="14.45" x14ac:dyDescent="0.35">
      <c r="J113" s="57">
        <v>49095</v>
      </c>
      <c r="K113" s="3">
        <v>110</v>
      </c>
      <c r="L113" s="6"/>
    </row>
    <row r="114" spans="10:12" ht="14.45" x14ac:dyDescent="0.35">
      <c r="J114" s="57">
        <v>49125</v>
      </c>
      <c r="K114" s="3">
        <v>111</v>
      </c>
      <c r="L114" s="6"/>
    </row>
    <row r="115" spans="10:12" ht="14.45" x14ac:dyDescent="0.35">
      <c r="J115" s="57">
        <v>49156</v>
      </c>
      <c r="K115" s="3">
        <v>112</v>
      </c>
      <c r="L115" s="6"/>
    </row>
    <row r="116" spans="10:12" ht="14.45" x14ac:dyDescent="0.35">
      <c r="J116" s="57">
        <v>49187</v>
      </c>
      <c r="K116" s="3">
        <v>113</v>
      </c>
      <c r="L116" s="6"/>
    </row>
    <row r="117" spans="10:12" ht="14.45" x14ac:dyDescent="0.35">
      <c r="J117" s="57">
        <v>49217</v>
      </c>
      <c r="K117" s="3">
        <v>114</v>
      </c>
      <c r="L117" s="6"/>
    </row>
    <row r="118" spans="10:12" ht="14.45" x14ac:dyDescent="0.35">
      <c r="J118" s="57">
        <v>49248</v>
      </c>
      <c r="K118" s="3">
        <v>115</v>
      </c>
      <c r="L118" s="6"/>
    </row>
    <row r="119" spans="10:12" ht="14.45" x14ac:dyDescent="0.35">
      <c r="J119" s="57">
        <v>49278</v>
      </c>
      <c r="K119" s="3">
        <v>116</v>
      </c>
      <c r="L119" s="6"/>
    </row>
    <row r="120" spans="10:12" ht="14.45" x14ac:dyDescent="0.35">
      <c r="J120" s="57">
        <v>49309</v>
      </c>
      <c r="K120" s="3">
        <v>117</v>
      </c>
      <c r="L120" s="6"/>
    </row>
    <row r="121" spans="10:12" ht="14.45" x14ac:dyDescent="0.35">
      <c r="J121" s="57">
        <v>49340</v>
      </c>
      <c r="K121" s="3">
        <v>118</v>
      </c>
      <c r="L121" s="6"/>
    </row>
    <row r="122" spans="10:12" ht="14.45" x14ac:dyDescent="0.35">
      <c r="J122" s="57">
        <v>49368</v>
      </c>
      <c r="K122" s="3">
        <v>119</v>
      </c>
      <c r="L122" s="6"/>
    </row>
    <row r="123" spans="10:12" ht="14.45" x14ac:dyDescent="0.35">
      <c r="J123" s="57">
        <v>49399</v>
      </c>
      <c r="K123" s="3">
        <v>120</v>
      </c>
      <c r="L123" s="6"/>
    </row>
    <row r="124" spans="10:12" ht="14.45" x14ac:dyDescent="0.35">
      <c r="J124" s="57">
        <v>49429</v>
      </c>
      <c r="K124" s="3">
        <v>121</v>
      </c>
      <c r="L124" s="6"/>
    </row>
    <row r="125" spans="10:12" ht="14.45" x14ac:dyDescent="0.35">
      <c r="J125" s="57">
        <v>49460</v>
      </c>
      <c r="K125" s="3">
        <v>122</v>
      </c>
      <c r="L125" s="6"/>
    </row>
    <row r="126" spans="10:12" ht="14.45" x14ac:dyDescent="0.35">
      <c r="J126" s="57">
        <v>49490</v>
      </c>
      <c r="K126" s="3">
        <v>123</v>
      </c>
      <c r="L126" s="6"/>
    </row>
    <row r="127" spans="10:12" ht="14.45" x14ac:dyDescent="0.35">
      <c r="J127" s="57">
        <v>49521</v>
      </c>
      <c r="K127" s="3">
        <v>124</v>
      </c>
      <c r="L127" s="6"/>
    </row>
    <row r="128" spans="10:12" ht="14.45" x14ac:dyDescent="0.35">
      <c r="J128" s="57">
        <v>49552</v>
      </c>
      <c r="K128" s="3">
        <v>125</v>
      </c>
      <c r="L128" s="6"/>
    </row>
    <row r="129" spans="10:12" ht="14.45" x14ac:dyDescent="0.35">
      <c r="J129" s="57">
        <v>49582</v>
      </c>
      <c r="K129" s="3">
        <v>126</v>
      </c>
      <c r="L129" s="6"/>
    </row>
    <row r="130" spans="10:12" ht="14.45" x14ac:dyDescent="0.35">
      <c r="J130" s="57">
        <v>49613</v>
      </c>
      <c r="K130" s="3">
        <v>127</v>
      </c>
      <c r="L130" s="6"/>
    </row>
    <row r="131" spans="10:12" ht="14.45" x14ac:dyDescent="0.35">
      <c r="J131" s="57">
        <v>49643</v>
      </c>
      <c r="K131" s="3">
        <v>128</v>
      </c>
      <c r="L131" s="6"/>
    </row>
    <row r="132" spans="10:12" ht="14.45" x14ac:dyDescent="0.35">
      <c r="J132" s="57">
        <v>49674</v>
      </c>
      <c r="K132" s="3">
        <v>129</v>
      </c>
      <c r="L132" s="6"/>
    </row>
    <row r="133" spans="10:12" ht="14.45" x14ac:dyDescent="0.35">
      <c r="J133" s="57">
        <v>49705</v>
      </c>
      <c r="K133" s="3">
        <v>130</v>
      </c>
      <c r="L133" s="6"/>
    </row>
    <row r="134" spans="10:12" ht="14.45" x14ac:dyDescent="0.35">
      <c r="J134" s="57">
        <v>49734</v>
      </c>
      <c r="K134" s="3">
        <v>131</v>
      </c>
      <c r="L134" s="6"/>
    </row>
    <row r="135" spans="10:12" ht="14.45" x14ac:dyDescent="0.35">
      <c r="J135" s="57">
        <v>49765</v>
      </c>
      <c r="K135" s="3">
        <v>132</v>
      </c>
      <c r="L135" s="6"/>
    </row>
    <row r="136" spans="10:12" ht="14.45" x14ac:dyDescent="0.35">
      <c r="J136" s="57">
        <v>49795</v>
      </c>
      <c r="K136" s="3">
        <v>133</v>
      </c>
      <c r="L136" s="6"/>
    </row>
    <row r="137" spans="10:12" ht="14.45" x14ac:dyDescent="0.35">
      <c r="J137" s="57">
        <v>49826</v>
      </c>
      <c r="K137" s="3">
        <v>134</v>
      </c>
      <c r="L137" s="6"/>
    </row>
    <row r="138" spans="10:12" ht="14.45" x14ac:dyDescent="0.35">
      <c r="J138" s="57">
        <v>49856</v>
      </c>
      <c r="K138" s="3">
        <v>135</v>
      </c>
      <c r="L138" s="6"/>
    </row>
    <row r="139" spans="10:12" ht="14.45" x14ac:dyDescent="0.35">
      <c r="J139" s="57">
        <v>49887</v>
      </c>
      <c r="K139" s="3">
        <v>136</v>
      </c>
      <c r="L139" s="6"/>
    </row>
    <row r="140" spans="10:12" ht="14.45" x14ac:dyDescent="0.35">
      <c r="J140" s="57">
        <v>49918</v>
      </c>
      <c r="K140" s="3">
        <v>137</v>
      </c>
      <c r="L140" s="6"/>
    </row>
    <row r="141" spans="10:12" ht="14.45" x14ac:dyDescent="0.35">
      <c r="J141" s="57">
        <v>49948</v>
      </c>
      <c r="K141" s="3">
        <v>138</v>
      </c>
      <c r="L141" s="6"/>
    </row>
    <row r="142" spans="10:12" ht="14.45" x14ac:dyDescent="0.35">
      <c r="J142" s="57">
        <v>49979</v>
      </c>
      <c r="K142" s="3">
        <v>139</v>
      </c>
      <c r="L142" s="6"/>
    </row>
    <row r="143" spans="10:12" ht="14.45" x14ac:dyDescent="0.35">
      <c r="J143" s="57">
        <v>50009</v>
      </c>
      <c r="K143" s="3">
        <v>140</v>
      </c>
      <c r="L143" s="6"/>
    </row>
    <row r="144" spans="10:12" ht="14.45" x14ac:dyDescent="0.35">
      <c r="J144" s="57">
        <v>50040</v>
      </c>
      <c r="K144" s="3">
        <v>141</v>
      </c>
      <c r="L144" s="6"/>
    </row>
    <row r="145" spans="10:12" ht="14.45" x14ac:dyDescent="0.35">
      <c r="J145" s="57">
        <v>50071</v>
      </c>
      <c r="K145" s="3">
        <v>142</v>
      </c>
      <c r="L145" s="6"/>
    </row>
    <row r="146" spans="10:12" ht="14.45" x14ac:dyDescent="0.35">
      <c r="J146" s="57">
        <v>50099</v>
      </c>
      <c r="K146" s="3">
        <v>143</v>
      </c>
      <c r="L146" s="6"/>
    </row>
    <row r="147" spans="10:12" ht="14.45" x14ac:dyDescent="0.35">
      <c r="J147" s="57">
        <v>50130</v>
      </c>
      <c r="K147" s="3">
        <v>144</v>
      </c>
      <c r="L147" s="6"/>
    </row>
    <row r="148" spans="10:12" ht="14.45" x14ac:dyDescent="0.35">
      <c r="J148" s="57">
        <v>50160</v>
      </c>
      <c r="K148" s="3">
        <v>145</v>
      </c>
      <c r="L148" s="6"/>
    </row>
    <row r="149" spans="10:12" ht="14.45" x14ac:dyDescent="0.35">
      <c r="J149" s="57">
        <v>50191</v>
      </c>
      <c r="K149" s="3">
        <v>146</v>
      </c>
      <c r="L149" s="6"/>
    </row>
    <row r="150" spans="10:12" ht="14.45" x14ac:dyDescent="0.35">
      <c r="J150" s="57">
        <v>50221</v>
      </c>
      <c r="K150" s="3">
        <v>147</v>
      </c>
      <c r="L150" s="6"/>
    </row>
    <row r="151" spans="10:12" ht="14.45" x14ac:dyDescent="0.35">
      <c r="J151" s="57">
        <v>50252</v>
      </c>
      <c r="K151" s="3">
        <v>148</v>
      </c>
      <c r="L151" s="6"/>
    </row>
    <row r="152" spans="10:12" ht="14.45" x14ac:dyDescent="0.35">
      <c r="J152" s="57">
        <v>50283</v>
      </c>
      <c r="K152" s="3">
        <v>149</v>
      </c>
      <c r="L152" s="6"/>
    </row>
    <row r="153" spans="10:12" ht="14.45" x14ac:dyDescent="0.35">
      <c r="J153" s="57">
        <v>50313</v>
      </c>
      <c r="K153" s="3">
        <v>150</v>
      </c>
      <c r="L153" s="6"/>
    </row>
    <row r="154" spans="10:12" ht="14.45" x14ac:dyDescent="0.35">
      <c r="J154" s="57">
        <v>50344</v>
      </c>
      <c r="K154" s="3">
        <v>151</v>
      </c>
      <c r="L154" s="6"/>
    </row>
    <row r="155" spans="10:12" ht="14.45" x14ac:dyDescent="0.35">
      <c r="J155" s="57">
        <v>50374</v>
      </c>
      <c r="K155" s="3">
        <v>152</v>
      </c>
      <c r="L155" s="6"/>
    </row>
    <row r="156" spans="10:12" ht="14.45" x14ac:dyDescent="0.35">
      <c r="J156" s="57">
        <v>50405</v>
      </c>
      <c r="K156" s="3">
        <v>153</v>
      </c>
      <c r="L156" s="6"/>
    </row>
    <row r="157" spans="10:12" ht="14.45" x14ac:dyDescent="0.35">
      <c r="J157" s="57">
        <v>50436</v>
      </c>
      <c r="K157" s="3">
        <v>154</v>
      </c>
      <c r="L157" s="6"/>
    </row>
    <row r="158" spans="10:12" ht="14.45" x14ac:dyDescent="0.35">
      <c r="J158" s="57">
        <v>50464</v>
      </c>
      <c r="K158" s="3">
        <v>155</v>
      </c>
      <c r="L158" s="6"/>
    </row>
    <row r="159" spans="10:12" ht="14.45" x14ac:dyDescent="0.35">
      <c r="J159" s="57">
        <v>50495</v>
      </c>
      <c r="K159" s="3">
        <v>156</v>
      </c>
      <c r="L159" s="6"/>
    </row>
    <row r="160" spans="10:12" ht="14.45" x14ac:dyDescent="0.35">
      <c r="J160" s="57">
        <v>50525</v>
      </c>
      <c r="K160" s="3">
        <v>157</v>
      </c>
      <c r="L160" s="6"/>
    </row>
    <row r="161" spans="10:12" ht="14.45" x14ac:dyDescent="0.35">
      <c r="J161" s="57">
        <v>50556</v>
      </c>
      <c r="K161" s="3">
        <v>158</v>
      </c>
      <c r="L161" s="6"/>
    </row>
    <row r="162" spans="10:12" ht="14.45" x14ac:dyDescent="0.35">
      <c r="J162" s="57">
        <v>50586</v>
      </c>
      <c r="K162" s="3">
        <v>159</v>
      </c>
      <c r="L162" s="6"/>
    </row>
    <row r="163" spans="10:12" ht="14.45" x14ac:dyDescent="0.35">
      <c r="J163" s="57">
        <v>50617</v>
      </c>
      <c r="K163" s="3">
        <v>160</v>
      </c>
      <c r="L163" s="6"/>
    </row>
    <row r="164" spans="10:12" ht="14.45" x14ac:dyDescent="0.35">
      <c r="J164" s="57">
        <v>50648</v>
      </c>
      <c r="K164" s="3">
        <v>161</v>
      </c>
      <c r="L164" s="6"/>
    </row>
    <row r="165" spans="10:12" ht="14.45" x14ac:dyDescent="0.35">
      <c r="J165" s="57">
        <v>50678</v>
      </c>
      <c r="K165" s="3">
        <v>162</v>
      </c>
      <c r="L165" s="6"/>
    </row>
    <row r="166" spans="10:12" ht="14.45" x14ac:dyDescent="0.35">
      <c r="J166" s="57">
        <v>50709</v>
      </c>
      <c r="K166" s="3">
        <v>163</v>
      </c>
      <c r="L166" s="6"/>
    </row>
    <row r="167" spans="10:12" ht="14.45" x14ac:dyDescent="0.35">
      <c r="J167" s="57">
        <v>50739</v>
      </c>
      <c r="K167" s="3">
        <v>164</v>
      </c>
      <c r="L167" s="6"/>
    </row>
    <row r="168" spans="10:12" ht="14.45" x14ac:dyDescent="0.35">
      <c r="J168" s="57">
        <v>50770</v>
      </c>
      <c r="K168" s="3">
        <v>165</v>
      </c>
      <c r="L168" s="6"/>
    </row>
    <row r="169" spans="10:12" ht="14.45" x14ac:dyDescent="0.35">
      <c r="J169" s="57">
        <v>50801</v>
      </c>
      <c r="K169" s="3">
        <v>166</v>
      </c>
      <c r="L169" s="6"/>
    </row>
    <row r="170" spans="10:12" ht="14.45" x14ac:dyDescent="0.35">
      <c r="J170" s="57">
        <v>50829</v>
      </c>
      <c r="K170" s="3">
        <v>167</v>
      </c>
      <c r="L170" s="6"/>
    </row>
    <row r="171" spans="10:12" ht="14.45" x14ac:dyDescent="0.35">
      <c r="J171" s="57">
        <v>50860</v>
      </c>
      <c r="K171" s="3">
        <v>168</v>
      </c>
      <c r="L171" s="6"/>
    </row>
    <row r="172" spans="10:12" ht="14.45" x14ac:dyDescent="0.35">
      <c r="J172" s="57">
        <v>50890</v>
      </c>
      <c r="K172" s="3">
        <v>169</v>
      </c>
      <c r="L172" s="6"/>
    </row>
    <row r="173" spans="10:12" ht="14.45" x14ac:dyDescent="0.35">
      <c r="J173" s="57">
        <v>50921</v>
      </c>
      <c r="K173" s="3">
        <v>170</v>
      </c>
      <c r="L173" s="6"/>
    </row>
    <row r="174" spans="10:12" ht="14.45" x14ac:dyDescent="0.35">
      <c r="J174" s="57">
        <v>50951</v>
      </c>
      <c r="K174" s="3">
        <v>171</v>
      </c>
      <c r="L174" s="6"/>
    </row>
    <row r="175" spans="10:12" ht="14.45" x14ac:dyDescent="0.35">
      <c r="J175" s="57">
        <v>50982</v>
      </c>
      <c r="K175" s="3">
        <v>172</v>
      </c>
      <c r="L175" s="6"/>
    </row>
    <row r="176" spans="10:12" ht="14.45" x14ac:dyDescent="0.35">
      <c r="J176" s="57">
        <v>51013</v>
      </c>
      <c r="K176" s="3">
        <v>173</v>
      </c>
      <c r="L176" s="6"/>
    </row>
    <row r="177" spans="10:12" ht="14.45" x14ac:dyDescent="0.35">
      <c r="J177" s="57">
        <v>51043</v>
      </c>
      <c r="K177" s="3">
        <v>174</v>
      </c>
      <c r="L177" s="6"/>
    </row>
    <row r="178" spans="10:12" ht="14.45" x14ac:dyDescent="0.35">
      <c r="J178" s="57">
        <v>51074</v>
      </c>
      <c r="K178" s="3">
        <v>175</v>
      </c>
      <c r="L178" s="6"/>
    </row>
    <row r="179" spans="10:12" ht="14.45" x14ac:dyDescent="0.35">
      <c r="J179" s="57">
        <v>51104</v>
      </c>
      <c r="K179" s="3">
        <v>176</v>
      </c>
      <c r="L179" s="6"/>
    </row>
    <row r="180" spans="10:12" ht="14.45" x14ac:dyDescent="0.35">
      <c r="J180" s="57">
        <v>51135</v>
      </c>
      <c r="K180" s="3">
        <v>177</v>
      </c>
      <c r="L180" s="6"/>
    </row>
    <row r="181" spans="10:12" ht="14.45" x14ac:dyDescent="0.35">
      <c r="J181" s="57">
        <v>51166</v>
      </c>
      <c r="K181" s="3">
        <v>178</v>
      </c>
      <c r="L181" s="6"/>
    </row>
  </sheetData>
  <mergeCells count="2">
    <mergeCell ref="A22:A27"/>
    <mergeCell ref="A2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NPV</vt:lpstr>
      <vt:lpstr>Ставка дисконтирования</vt:lpstr>
      <vt:lpstr>Оттоки (Расходы)</vt:lpstr>
      <vt:lpstr>Подведение коммуникаций</vt:lpstr>
      <vt:lpstr>Штатная структура</vt:lpstr>
      <vt:lpstr>Коммуналка</vt:lpstr>
      <vt:lpstr>Притоки (Доходная часть)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NePeyIvanushkaKozlom</dc:creator>
  <cp:lastModifiedBy>user</cp:lastModifiedBy>
  <dcterms:created xsi:type="dcterms:W3CDTF">2024-11-04T16:25:04Z</dcterms:created>
  <dcterms:modified xsi:type="dcterms:W3CDTF">2026-07-30T13:08:41Z</dcterms:modified>
</cp:coreProperties>
</file>